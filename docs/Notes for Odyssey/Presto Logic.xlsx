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de_projects\odyssey\desktop\dev\docs\Notes for Odyssey\"/>
    </mc:Choice>
  </mc:AlternateContent>
  <xr:revisionPtr revIDLastSave="0" documentId="13_ncr:1_{02A9745F-D762-4A49-A278-066330D1CF18}" xr6:coauthVersionLast="47" xr6:coauthVersionMax="47" xr10:uidLastSave="{00000000-0000-0000-0000-000000000000}"/>
  <bookViews>
    <workbookView xWindow="-120" yWindow="-120" windowWidth="20640" windowHeight="11160" firstSheet="4" activeTab="8" xr2:uid="{7DD2E916-9411-4B1C-8B71-64752AF73923}"/>
  </bookViews>
  <sheets>
    <sheet name="Sheet1" sheetId="1" r:id="rId1"/>
    <sheet name="Sheet2" sheetId="2" r:id="rId2"/>
    <sheet name="CompleteTimingsCities" sheetId="3" r:id="rId3"/>
    <sheet name="QuoTicketsSetChangeCar" sheetId="4" r:id="rId4"/>
    <sheet name="Invoices" sheetId="5" r:id="rId5"/>
    <sheet name="InvoiceDetailsSummary" sheetId="6" r:id="rId6"/>
    <sheet name="InvoiceTables" sheetId="7" r:id="rId7"/>
    <sheet name="InvoiceValues" sheetId="8" r:id="rId8"/>
    <sheet name="Cancellation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3" i="8" l="1"/>
  <c r="E62" i="8"/>
  <c r="E60" i="8"/>
  <c r="E54" i="8"/>
  <c r="J24" i="8"/>
  <c r="G25" i="8"/>
  <c r="I25" i="8"/>
  <c r="J25" i="8" s="1"/>
  <c r="F25" i="8"/>
  <c r="K24" i="8"/>
  <c r="K23" i="8"/>
  <c r="K22" i="8"/>
  <c r="G24" i="8"/>
  <c r="I24" i="8" s="1"/>
  <c r="G23" i="8"/>
  <c r="I23" i="8" s="1"/>
  <c r="J23" i="8" s="1"/>
  <c r="G22" i="8"/>
  <c r="I22" i="8" s="1"/>
  <c r="J22" i="8" s="1"/>
  <c r="F24" i="8"/>
  <c r="F23" i="8"/>
  <c r="F22" i="8"/>
  <c r="E64" i="8" l="1"/>
  <c r="D49" i="8"/>
  <c r="F26" i="8"/>
  <c r="H25" i="8"/>
  <c r="D48" i="8" s="1"/>
  <c r="J26" i="8"/>
  <c r="H23" i="8"/>
  <c r="H22" i="8"/>
  <c r="H24" i="8"/>
  <c r="J28" i="8" l="1"/>
  <c r="D46" i="8"/>
  <c r="D47" i="8"/>
  <c r="E55" i="8"/>
  <c r="J30" i="8"/>
  <c r="E17" i="8" s="1"/>
  <c r="D43" i="8"/>
  <c r="H36" i="8"/>
  <c r="M17" i="8" s="1"/>
  <c r="H37" i="8"/>
  <c r="N17" i="8" s="1"/>
  <c r="H26" i="8"/>
  <c r="E58" i="8" l="1"/>
  <c r="D50" i="8"/>
  <c r="J29" i="8"/>
  <c r="F17" i="8" s="1"/>
  <c r="J35" i="8"/>
  <c r="H35" i="8" s="1"/>
  <c r="H32" i="8"/>
  <c r="H33" i="8" s="1"/>
  <c r="J38" i="8"/>
  <c r="H38" i="8" l="1"/>
  <c r="H40" i="8" s="1"/>
  <c r="L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Rajiv</author>
  </authors>
  <commentList>
    <comment ref="G3" authorId="0" shapeId="0" xr:uid="{335094D6-0F51-45FA-9F5D-DABAD30A4336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DateIn + Nights</t>
        </r>
      </text>
    </comment>
    <comment ref="H4" authorId="0" shapeId="0" xr:uid="{9E3B81CF-222B-42ED-BEA8-C7747A4DD633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For 1st City, pick from 'StartCities_id' in Quotations</t>
        </r>
      </text>
    </comment>
    <comment ref="J4" authorId="0" shapeId="0" xr:uid="{EE7A266F-F9F7-4E13-BA58-023C6570410C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'1' only for 1st line, 0 otherwise</t>
        </r>
      </text>
    </comment>
    <comment ref="H5" authorId="0" shapeId="0" xr:uid="{B3E24D53-9DDC-4837-B231-E6B56C765CDF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Copied from the previous record's ToCities_id</t>
        </r>
      </text>
    </comment>
    <comment ref="I14" authorId="0" shapeId="0" xr:uid="{0B6607C8-AFC8-4809-AEBE-4C8F4A55F85C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Where NULL, make it '09:00'
</t>
        </r>
      </text>
    </comment>
    <comment ref="G15" authorId="0" shapeId="0" xr:uid="{DF4D5D8B-60B7-4967-906A-48B7F8AFF6BA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Obtained from QuoTickets 'ETA'
For first record, obtain from Quotations 'ETA'
Add 2hrs for 1st line</t>
        </r>
      </text>
    </comment>
    <comment ref="I15" authorId="0" shapeId="0" xr:uid="{C2DCCF20-BF90-4670-8127-0251F81D2BF2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Obtained from QuoTickets ETD</t>
        </r>
      </text>
    </comment>
    <comment ref="L15" authorId="0" shapeId="0" xr:uid="{F4506D71-34D3-4C78-A2A9-44DEE10DD45F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'1' only for 1st line, 0 otherwise</t>
        </r>
      </text>
    </comment>
    <comment ref="I17" authorId="0" shapeId="0" xr:uid="{D488A378-83ED-4070-9076-93FBAF5EDA46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For last record, obtain from Quotations 'ETD'
Subtract 2hrs for last line if flight, otherwise 1 hr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Rajiv</author>
  </authors>
  <commentList>
    <comment ref="I3" authorId="0" shapeId="0" xr:uid="{5CFE1148-4381-4FBC-9DA5-DC2F68D4F6FD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Reset</t>
        </r>
      </text>
    </comment>
    <comment ref="J3" authorId="0" shapeId="0" xr:uid="{5B12C3AF-4E67-4D69-9963-910CB907BA02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Reset</t>
        </r>
      </text>
    </comment>
    <comment ref="K3" authorId="0" shapeId="0" xr:uid="{CAF67B11-EE0E-47BE-A368-EAA05DB2A026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Reset</t>
        </r>
      </text>
    </comment>
    <comment ref="L3" authorId="0" shapeId="0" xr:uid="{5C98F5FE-876B-452C-BEED-A2E4C3750792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Reset</t>
        </r>
      </text>
    </comment>
    <comment ref="I22" authorId="0" shapeId="0" xr:uid="{5E025A38-B68A-455B-B1A8-4332B68EC8B2}">
      <text>
        <r>
          <rPr>
            <b/>
            <sz val="9"/>
            <color indexed="81"/>
            <rFont val="Tahoma"/>
            <family val="2"/>
          </rPr>
          <t xml:space="preserve">Rajiv:
</t>
        </r>
        <r>
          <rPr>
            <sz val="9"/>
            <color indexed="81"/>
            <rFont val="Tahoma"/>
            <family val="2"/>
          </rPr>
          <t>Set to 1, everytime transport changes
Everytime Tickets_id &lt;&gt; 5
Every time Tickets_id = 5 and PrevTickets_id &lt;&gt; 5
Successive Per Km rides based on Report &amp; Release Dates</t>
        </r>
      </text>
    </comment>
    <comment ref="J22" authorId="0" shapeId="0" xr:uid="{872373EF-9215-4043-B80C-C81E3D7DA333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Group Transport together based on ChangeCar</t>
        </r>
      </text>
    </comment>
    <comment ref="K22" authorId="0" shapeId="0" xr:uid="{F557ED1F-0603-47B2-B78B-FA447F6A6610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Based on CarReleaseDate and ETD</t>
        </r>
      </text>
    </comment>
    <comment ref="L22" authorId="0" shapeId="0" xr:uid="{AE4B05CA-368F-4C51-9916-7427A9929DB1}">
      <text>
        <r>
          <rPr>
            <b/>
            <sz val="9"/>
            <color indexed="81"/>
            <rFont val="Tahoma"/>
            <family val="2"/>
          </rPr>
          <t>Rajiv:</t>
        </r>
        <r>
          <rPr>
            <sz val="9"/>
            <color indexed="81"/>
            <rFont val="Tahoma"/>
            <family val="2"/>
          </rPr>
          <t xml:space="preserve">
Based on CarReportDate and ETA</t>
        </r>
      </text>
    </comment>
    <comment ref="G40" authorId="0" shapeId="0" xr:uid="{BB380A32-C557-4BA5-9322-D2DFE7C4D2CE}">
      <text>
        <r>
          <rPr>
            <b/>
            <sz val="9"/>
            <color indexed="81"/>
            <rFont val="Tahoma"/>
            <charset val="1"/>
          </rPr>
          <t>Rajiv:</t>
        </r>
        <r>
          <rPr>
            <sz val="9"/>
            <color indexed="81"/>
            <rFont val="Tahoma"/>
            <charset val="1"/>
          </rPr>
          <t xml:space="preserve">
1. Match against Car Hire Groups and for matches set DriveTypes_id = 3. Also set CarHireGroups_id
2. Where P2Ps exist, set DriveTypes_id = 2
3. For the rest, set DriveTypes_id = 1
4. If more than 1 drive type is enclosed by CarReport / CarRelease dates, set to 'Per Km' </t>
        </r>
      </text>
    </comment>
    <comment ref="I57" authorId="0" shapeId="0" xr:uid="{0FEEC150-2CC9-4C9C-BDAA-C18B66FD3AEC}">
      <text>
        <r>
          <rPr>
            <b/>
            <sz val="9"/>
            <color indexed="81"/>
            <rFont val="Tahoma"/>
            <charset val="1"/>
          </rPr>
          <t>Rajiv:</t>
        </r>
        <r>
          <rPr>
            <sz val="9"/>
            <color indexed="81"/>
            <rFont val="Tahoma"/>
            <charset val="1"/>
          </rPr>
          <t xml:space="preserve">
Set ChangeCar based on new DriveTypes updated in previous SP</t>
        </r>
      </text>
    </comment>
    <comment ref="J57" authorId="0" shapeId="0" xr:uid="{25AC1CEB-D2A2-4EB7-8EB8-E9E34E2B629E}">
      <text>
        <r>
          <rPr>
            <b/>
            <sz val="9"/>
            <color indexed="81"/>
            <rFont val="Tahoma"/>
            <charset val="1"/>
          </rPr>
          <t>Rajiv:</t>
        </r>
        <r>
          <rPr>
            <sz val="9"/>
            <color indexed="81"/>
            <rFont val="Tahoma"/>
            <charset val="1"/>
          </rPr>
          <t xml:space="preserve">
1. Reset GroupNo based on ChangeCar updates</t>
        </r>
      </text>
    </comment>
    <comment ref="K57" authorId="0" shapeId="0" xr:uid="{78495FE2-841D-49E8-A96B-299BA853E724}">
      <text>
        <r>
          <rPr>
            <b/>
            <sz val="9"/>
            <color indexed="81"/>
            <rFont val="Tahoma"/>
            <charset val="1"/>
          </rPr>
          <t>Rajiv:</t>
        </r>
        <r>
          <rPr>
            <sz val="9"/>
            <color indexed="81"/>
            <rFont val="Tahoma"/>
            <charset val="1"/>
          </rPr>
          <t xml:space="preserve">
Based on updated GroupNo, CarReleaseDate and ETD</t>
        </r>
      </text>
    </comment>
    <comment ref="L57" authorId="0" shapeId="0" xr:uid="{F6F5F8F9-BEA8-4D1D-A3BE-5057B2EEF87E}">
      <text>
        <r>
          <rPr>
            <b/>
            <sz val="9"/>
            <color indexed="81"/>
            <rFont val="Tahoma"/>
            <charset val="1"/>
          </rPr>
          <t>Rajiv:</t>
        </r>
        <r>
          <rPr>
            <sz val="9"/>
            <color indexed="81"/>
            <rFont val="Tahoma"/>
            <charset val="1"/>
          </rPr>
          <t xml:space="preserve">
Based on updated GroupNo, CarReportDate and ETA</t>
        </r>
      </text>
    </comment>
    <comment ref="M57" authorId="0" shapeId="0" xr:uid="{CD1057B1-CDD3-4611-A7B2-D55B4217409F}">
      <text>
        <r>
          <rPr>
            <b/>
            <sz val="9"/>
            <color indexed="81"/>
            <rFont val="Tahoma"/>
            <charset val="1"/>
          </rPr>
          <t>Rajiv:</t>
        </r>
        <r>
          <rPr>
            <sz val="9"/>
            <color indexed="81"/>
            <rFont val="Tahoma"/>
            <charset val="1"/>
          </rPr>
          <t xml:space="preserve">
Chronological Order within the Group</t>
        </r>
      </text>
    </comment>
  </commentList>
</comments>
</file>

<file path=xl/sharedStrings.xml><?xml version="1.0" encoding="utf-8"?>
<sst xmlns="http://schemas.openxmlformats.org/spreadsheetml/2006/main" count="553" uniqueCount="289">
  <si>
    <t>Sr. No.</t>
  </si>
  <si>
    <t>Procedure</t>
  </si>
  <si>
    <t>Save a City line in presto</t>
  </si>
  <si>
    <t>p_QuoCompleteCities</t>
  </si>
  <si>
    <t>Set the mode of travel from the previous city to current city</t>
  </si>
  <si>
    <t>Default to drive for drivable places, use Route finder otherwise</t>
  </si>
  <si>
    <t>Make adjustments for an overnight journey</t>
  </si>
  <si>
    <t>This populates the QuoTickets table</t>
  </si>
  <si>
    <t>If 'autotickets' is ticked, it gets the most favoured route (p_MostFavouredRoute)</t>
  </si>
  <si>
    <t>Auto-create</t>
  </si>
  <si>
    <t>p_QuoCompleteTimings</t>
  </si>
  <si>
    <t>p_QuoDateCheck</t>
  </si>
  <si>
    <t>p_QuoTicketsSetChangeCar</t>
  </si>
  <si>
    <t>p_QuoAutoFillAccommodation</t>
  </si>
  <si>
    <t>p_QuoAutoFillSightSeeing</t>
  </si>
  <si>
    <t>p_QuoAutoFillTransfers</t>
  </si>
  <si>
    <t>p_QuoSetSightSeeingTransport</t>
  </si>
  <si>
    <t>StartCity</t>
  </si>
  <si>
    <t>FromCities_id</t>
  </si>
  <si>
    <t>DateOut</t>
  </si>
  <si>
    <t>1 for 1st city, 0 otherwise</t>
  </si>
  <si>
    <t>QuoCities</t>
  </si>
  <si>
    <t>Table</t>
  </si>
  <si>
    <t>TimeIn</t>
  </si>
  <si>
    <t>TimeOut</t>
  </si>
  <si>
    <t>Based on QuoTickets</t>
  </si>
  <si>
    <t>Error Checking</t>
  </si>
  <si>
    <t>QuoTickets</t>
  </si>
  <si>
    <t>ChangeCar = 0, GroupNo = 0, GroupReleaseDate = null, GroupReportDate = null</t>
  </si>
  <si>
    <t>[p_QuoSetBasicGroupNos]</t>
  </si>
  <si>
    <t>ChangeCar</t>
  </si>
  <si>
    <t>ChangeCar=1,0</t>
  </si>
  <si>
    <t>GroupNo</t>
  </si>
  <si>
    <t>Based on ChangeCar</t>
  </si>
  <si>
    <t>Based on possibility that there could be successive PerKm rides</t>
  </si>
  <si>
    <t>Decide based on Report/Release dates</t>
  </si>
  <si>
    <t>Set again based on previous ChangeCar</t>
  </si>
  <si>
    <t>GroupReportDate</t>
  </si>
  <si>
    <t>GroupReleaseDate</t>
  </si>
  <si>
    <t>GroupOrderNo</t>
  </si>
  <si>
    <t>[p_QuoSetDriveTypes]</t>
  </si>
  <si>
    <t>DriveTypes_id</t>
  </si>
  <si>
    <t>CarHireGroups_id</t>
  </si>
  <si>
    <t>P2P</t>
  </si>
  <si>
    <t>Reset again based on changes in previous procedure</t>
  </si>
  <si>
    <t>will change if Auto-Create is clicked</t>
  </si>
  <si>
    <t>QuoAccommodation</t>
  </si>
  <si>
    <t>Hotel</t>
  </si>
  <si>
    <t>DateIn</t>
  </si>
  <si>
    <t>RoomType</t>
  </si>
  <si>
    <t>MealPlan</t>
  </si>
  <si>
    <t>Reserve Overnight</t>
  </si>
  <si>
    <t>Set DateIn to previous day</t>
  </si>
  <si>
    <t>This info is picked for QuoTickets</t>
  </si>
  <si>
    <t>This changes the nights booked for</t>
  </si>
  <si>
    <t>Selected based on Quotation data -- Hotel Type selection</t>
  </si>
  <si>
    <t>Gets data from DefaultHotels</t>
  </si>
  <si>
    <t>DefaultHotels updated when Hotels are Ranked</t>
  </si>
  <si>
    <t>QuoServices</t>
  </si>
  <si>
    <t>Sighseeings possible</t>
  </si>
  <si>
    <t>Fix the ones locked</t>
  </si>
  <si>
    <t>Find slots for the other sightseeing</t>
  </si>
  <si>
    <t>For services squeezed into first or last day, check if slot available on any other day</t>
  </si>
  <si>
    <t>ServiceDate</t>
  </si>
  <si>
    <t>StartTime</t>
  </si>
  <si>
    <t>Arrival Transfer</t>
  </si>
  <si>
    <t>Departure Transfer</t>
  </si>
  <si>
    <t>Place</t>
  </si>
  <si>
    <t>Previous City</t>
  </si>
  <si>
    <t>FlightNo</t>
  </si>
  <si>
    <t>From Previous QuoTickets</t>
  </si>
  <si>
    <t>ETA</t>
  </si>
  <si>
    <t>Vehicle</t>
  </si>
  <si>
    <t>Obtain from Quotations</t>
  </si>
  <si>
    <t>[p_QuoSetSightSeeingCar]</t>
  </si>
  <si>
    <t>Update vehicle by choosing most economical</t>
  </si>
  <si>
    <t>[p_QuoAllocSightSeeing]</t>
  </si>
  <si>
    <t>[p_InsertQuoSightSeeing]</t>
  </si>
  <si>
    <t>If transport costs not entered for default agent for service, then Transport = 0 in QuoServices</t>
  </si>
  <si>
    <t>Vehicle not yet set</t>
  </si>
  <si>
    <t>Selected</t>
  </si>
  <si>
    <t>Those that fit in available time</t>
  </si>
  <si>
    <t>All sightseeings that are Active and Not Private, in order as set in services</t>
  </si>
  <si>
    <t>p_QuoAdjDriveTimeForSs</t>
  </si>
  <si>
    <t>[p_QuoDeletePackagesSightSeeing]</t>
  </si>
  <si>
    <t>Called a second time</t>
  </si>
  <si>
    <t>Transport is 0 if StartDate of S/S lies between CarReportDate and CarReleaseDate</t>
  </si>
  <si>
    <t>Set vehicle from Cost Transport under Cost Services</t>
  </si>
  <si>
    <t>First try to fit all pax into 1 vehicle</t>
  </si>
  <si>
    <t>If that is not possible, then go for most economical option</t>
  </si>
  <si>
    <t>Set Vehicle &amp; Number of Vehicles</t>
  </si>
  <si>
    <t>Go through QuoServices</t>
  </si>
  <si>
    <t>This should be only for s/s, but does this update for both ?</t>
  </si>
  <si>
    <t>QuoCities_id</t>
  </si>
  <si>
    <t>ToCities_id</t>
  </si>
  <si>
    <t>NULL</t>
  </si>
  <si>
    <t>QuoTickets_id</t>
  </si>
  <si>
    <t>Tickets_id</t>
  </si>
  <si>
    <t>p_QuoSetBasicGroupNos</t>
  </si>
  <si>
    <t xml:space="preserve">select QuoTickets_id, Tickets_id, DriveTypes_id, CarHireGroups_id, ChangeCar, GroupNo, GroupReleaseDate, GroupReportDate </t>
  </si>
  <si>
    <t>from QuoTickets where Quotations_id = 7115</t>
  </si>
  <si>
    <t>order by TravelDate, ETA</t>
  </si>
  <si>
    <t>continuation of ….p_QuoTicketsSetChangeCar</t>
  </si>
  <si>
    <t>p_GetMasterToursDateRange</t>
  </si>
  <si>
    <t>Step 1</t>
  </si>
  <si>
    <t>MasterCode</t>
  </si>
  <si>
    <t>TourDate</t>
  </si>
  <si>
    <t>Masters</t>
  </si>
  <si>
    <t>MasterDepartureDate</t>
  </si>
  <si>
    <t>From Tables</t>
  </si>
  <si>
    <t>Where</t>
  </si>
  <si>
    <t>MasterDepartureDate between FromDate and ToDate</t>
  </si>
  <si>
    <t>Step 2</t>
  </si>
  <si>
    <t>For each MasterCode</t>
  </si>
  <si>
    <t>NumPax</t>
  </si>
  <si>
    <t>NumCancelled</t>
  </si>
  <si>
    <t>Check Dates</t>
  </si>
  <si>
    <t>Quotations</t>
  </si>
  <si>
    <t>QuoModules</t>
  </si>
  <si>
    <t>StartDate</t>
  </si>
  <si>
    <t>DateOfArrival</t>
  </si>
  <si>
    <t>CancelledOn</t>
  </si>
  <si>
    <t>Step 3</t>
  </si>
  <si>
    <t>Update</t>
  </si>
  <si>
    <t>Voucher Expected Cost</t>
  </si>
  <si>
    <t>Quotation Cost</t>
  </si>
  <si>
    <t>Step 4</t>
  </si>
  <si>
    <t>InvoiceNo</t>
  </si>
  <si>
    <t>InvoiceDate</t>
  </si>
  <si>
    <t>Invoice is generated</t>
  </si>
  <si>
    <t>Based on</t>
  </si>
  <si>
    <t>TourCode and TourDate matching with Invoices MasterCode and MasterDepartureDate</t>
  </si>
  <si>
    <t>To display TourCode and TourDate for which invoices should be generated</t>
  </si>
  <si>
    <t>p_InvoiceDetailsSummary</t>
  </si>
  <si>
    <t>Separation of Refundable and Non-Refundable</t>
  </si>
  <si>
    <t>These records are recreated in the table InvoiceDetailsSummary, each time an invoice is printed</t>
  </si>
  <si>
    <t>Invoices_id</t>
  </si>
  <si>
    <t>Tour Code</t>
  </si>
  <si>
    <t>Details</t>
  </si>
  <si>
    <t>Amount</t>
  </si>
  <si>
    <t>Service Tax (GST)</t>
  </si>
  <si>
    <t>AmtAfterTax</t>
  </si>
  <si>
    <t>RecType</t>
  </si>
  <si>
    <t>ItemNo</t>
  </si>
  <si>
    <t>Multiple records per invoices_id, separated as Refundable and Non-Refundable</t>
  </si>
  <si>
    <t>Cumulative for Refundable Items</t>
  </si>
  <si>
    <t>Non-Refundable</t>
  </si>
  <si>
    <t>Just a label with no amounts</t>
  </si>
  <si>
    <t>Multi-records non-refundable items with ItemNo as in InvoiceDetails</t>
  </si>
  <si>
    <t>Invoices</t>
  </si>
  <si>
    <t>invoices_id</t>
  </si>
  <si>
    <t>invoiceno</t>
  </si>
  <si>
    <t>yearref</t>
  </si>
  <si>
    <t>addressbook_id</t>
  </si>
  <si>
    <t>tourcode</t>
  </si>
  <si>
    <t>tourdate</t>
  </si>
  <si>
    <t>invoicedate</t>
  </si>
  <si>
    <t>divisions_id</t>
  </si>
  <si>
    <t>companies_id</t>
  </si>
  <si>
    <t>taxamount</t>
  </si>
  <si>
    <t>invoicetypes_id</t>
  </si>
  <si>
    <t>currencies_id</t>
  </si>
  <si>
    <t>offices_id</t>
  </si>
  <si>
    <t>exchangerate</t>
  </si>
  <si>
    <t>TotalInvoiceAmount</t>
  </si>
  <si>
    <t>Quotations_id</t>
  </si>
  <si>
    <t>QuoModules_id</t>
  </si>
  <si>
    <t>LinkedInvoices_id</t>
  </si>
  <si>
    <t>GstinRecipient</t>
  </si>
  <si>
    <t>PlaceOfSupply</t>
  </si>
  <si>
    <t>SupplyStates_id</t>
  </si>
  <si>
    <t>TaxPayableRcm</t>
  </si>
  <si>
    <t>DivInvoiceNo</t>
  </si>
  <si>
    <t>I_Gst_Perc</t>
  </si>
  <si>
    <t>C_Gst_Perc</t>
  </si>
  <si>
    <t>S_Gst_Perc</t>
  </si>
  <si>
    <t>I_Gst</t>
  </si>
  <si>
    <t>C_Gst</t>
  </si>
  <si>
    <t>S_Gst</t>
  </si>
  <si>
    <t>Customer</t>
  </si>
  <si>
    <t>Addr1</t>
  </si>
  <si>
    <t>Addr2</t>
  </si>
  <si>
    <t>Customers_id</t>
  </si>
  <si>
    <t>0-Tours, 4-Summertime</t>
  </si>
  <si>
    <t>Gst in selected currency</t>
  </si>
  <si>
    <t>Based on companies_id, yearRef, invoiceTypes_id</t>
  </si>
  <si>
    <t>1 - Invoice, 3 - Credit Note</t>
  </si>
  <si>
    <t>Only if linked to Tours</t>
  </si>
  <si>
    <t>Inclusive of GST, in selected currency</t>
  </si>
  <si>
    <t>For GST Invoice</t>
  </si>
  <si>
    <t>Goa - C/S GST, otherwise I GST</t>
  </si>
  <si>
    <t>Goa</t>
  </si>
  <si>
    <t>Reverse Charge Mechanism (For GST Invoice)</t>
  </si>
  <si>
    <t>Next number within div (now Dept wants next number regardless of division as in InvoiceNo)</t>
  </si>
  <si>
    <t>Amt in Rs (after multiplying with exchange rate)</t>
  </si>
  <si>
    <t>In case customer not available in drop down</t>
  </si>
  <si>
    <t>invoiceDetails</t>
  </si>
  <si>
    <t>int</t>
  </si>
  <si>
    <t>details</t>
  </si>
  <si>
    <t>varchar</t>
  </si>
  <si>
    <t>unitprice</t>
  </si>
  <si>
    <t>numeric</t>
  </si>
  <si>
    <t>quantity</t>
  </si>
  <si>
    <t>amount</t>
  </si>
  <si>
    <t>smalldatetime</t>
  </si>
  <si>
    <t>itemno</t>
  </si>
  <si>
    <t>bookingref</t>
  </si>
  <si>
    <t>invoicedetails_id</t>
  </si>
  <si>
    <t>servicetaxperc</t>
  </si>
  <si>
    <t>CancelledByPax</t>
  </si>
  <si>
    <t>CancelPerc</t>
  </si>
  <si>
    <t>QuoModuleDetails_id</t>
  </si>
  <si>
    <t>ServiceTax</t>
  </si>
  <si>
    <t>RateAfterServTax</t>
  </si>
  <si>
    <t>SacCode</t>
  </si>
  <si>
    <t>PlaceOfSupplyLine</t>
  </si>
  <si>
    <t>Refundable</t>
  </si>
  <si>
    <t>bit</t>
  </si>
  <si>
    <t>SubOrderNo</t>
  </si>
  <si>
    <t>300 - Names, 700 - details</t>
  </si>
  <si>
    <t>GST</t>
  </si>
  <si>
    <t>GST (%)</t>
  </si>
  <si>
    <t>In Selected Currency</t>
  </si>
  <si>
    <t>amount + GST</t>
  </si>
  <si>
    <t>In Selected Currency without GST</t>
  </si>
  <si>
    <t>Rate inclusive of GST</t>
  </si>
  <si>
    <t>For ordering purposes (ItemNo + SubOrderNo)</t>
  </si>
  <si>
    <t>invoices</t>
  </si>
  <si>
    <t>I_GST_Perc</t>
  </si>
  <si>
    <t>C_GST_Perc</t>
  </si>
  <si>
    <t>S_GST_Perc</t>
  </si>
  <si>
    <t>I_GST</t>
  </si>
  <si>
    <t>C_GST</t>
  </si>
  <si>
    <t>S_GST</t>
  </si>
  <si>
    <t>Rajasthan</t>
  </si>
  <si>
    <t>InvoiceDetails</t>
  </si>
  <si>
    <t>InvoiceDetails_id</t>
  </si>
  <si>
    <t>qty</t>
  </si>
  <si>
    <t>servicetax</t>
  </si>
  <si>
    <t>EUR</t>
  </si>
  <si>
    <t>Rs</t>
  </si>
  <si>
    <t>Item Amount</t>
  </si>
  <si>
    <t>Invoice Amount</t>
  </si>
  <si>
    <t>taxpercentage</t>
  </si>
  <si>
    <t>Invoice Rs Amount</t>
  </si>
  <si>
    <t>GST Rs Amount</t>
  </si>
  <si>
    <t>EXEC p_UpdateInvoiceAmount</t>
  </si>
  <si>
    <t>I GST</t>
  </si>
  <si>
    <t>CGST</t>
  </si>
  <si>
    <t>SGST</t>
  </si>
  <si>
    <t>I GST Rs Amount</t>
  </si>
  <si>
    <t>C GST Rs Amount</t>
  </si>
  <si>
    <t>S GST Rs Amount</t>
  </si>
  <si>
    <t>Diff GST</t>
  </si>
  <si>
    <t>Riksja Invoice</t>
  </si>
  <si>
    <t>*** Can be a combination of Place of Supply -- Ex. Delhi, Rajasthan, Haryana</t>
  </si>
  <si>
    <t>*** Can be a combination of IGST and G &amp; S GST</t>
  </si>
  <si>
    <t>A GST invoice should have a single 'Place Of Supply' and either (I GST) or ( C &amp; S GST)</t>
  </si>
  <si>
    <t>But a client has to be given a single invoice</t>
  </si>
  <si>
    <t>So a Riksja invoice is divided into</t>
  </si>
  <si>
    <t>Client</t>
  </si>
  <si>
    <t>Office</t>
  </si>
  <si>
    <t>Displays the GST amounts but shows a single invoice per customer even though he travels through differenct states</t>
  </si>
  <si>
    <t>Does not display GST and shows a single invoice per customer even though he travels through different states</t>
  </si>
  <si>
    <t>Department</t>
  </si>
  <si>
    <t>Breaks invoices into number of states travelled. Breaks amounts into IGST &amp; (CGST &amp; SGST if the service took place in Goa)</t>
  </si>
  <si>
    <t>Client Invoice</t>
  </si>
  <si>
    <t>Item Amt</t>
  </si>
  <si>
    <t>Invoice Amt</t>
  </si>
  <si>
    <t>Office Invoice</t>
  </si>
  <si>
    <t>C GST</t>
  </si>
  <si>
    <t>S GST</t>
  </si>
  <si>
    <t>Dept Invoice</t>
  </si>
  <si>
    <t>Rajasthan, Goa in a single invoice</t>
  </si>
  <si>
    <t>Rajasthan, Goa in a separate invoices</t>
  </si>
  <si>
    <t>All invoices are stored only as I GST but department invoices are internally separated into I GST and (C GST and S GST wherever POS is Goa)</t>
  </si>
  <si>
    <t>Canceeling a Tour</t>
  </si>
  <si>
    <t>Go to Bookings and in the Tours enter a cancellation date</t>
  </si>
  <si>
    <t>This updatyes the corresponding Quotation (CancelledOn)</t>
  </si>
  <si>
    <t>Also executes p_CancelQuoModule</t>
  </si>
  <si>
    <t>This updates QuoModules (Cancelled)</t>
  </si>
  <si>
    <t>Also updates QuoModuleDetails (CancelPerc)</t>
  </si>
  <si>
    <t>The cancellation percentage is obtained from the Agent Cancellation Policy</t>
  </si>
  <si>
    <t>General -&gt; Agents -&gt; Agent Cancellation Policy</t>
  </si>
  <si>
    <t>This cancelletaion percentage will be used while invoicing</t>
  </si>
  <si>
    <t>Generate Invoices</t>
  </si>
  <si>
    <t>Based on QuoModuleDetails where CancelPerc &gt; 0</t>
  </si>
  <si>
    <t>Reversal of the entry</t>
  </si>
  <si>
    <t>Cancellation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</si>
</sst>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22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4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14" fontId="0" fillId="0" borderId="0" xfId="0" applyNumberFormat="1"/>
    <xf numFmtId="0" fontId="1" fillId="7" borderId="0" xfId="0" applyFont="1" applyFill="1"/>
    <xf numFmtId="0" fontId="0" fillId="8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2" xfId="0" applyNumberForma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1" xfId="0" applyFont="1" applyFill="1" applyBorder="1" applyAlignment="1"/>
    <xf numFmtId="4" fontId="0" fillId="0" borderId="1" xfId="0" applyNumberFormat="1" applyBorder="1" applyAlignment="1">
      <alignment horizontal="right"/>
    </xf>
    <xf numFmtId="0" fontId="1" fillId="9" borderId="0" xfId="0" applyFont="1" applyFill="1"/>
    <xf numFmtId="0" fontId="0" fillId="9" borderId="0" xfId="0" applyFill="1" applyAlignment="1">
      <alignment horizontal="center"/>
    </xf>
    <xf numFmtId="4" fontId="1" fillId="0" borderId="0" xfId="0" applyNumberFormat="1" applyFont="1" applyAlignment="1">
      <alignment horizontal="right"/>
    </xf>
    <xf numFmtId="4" fontId="1" fillId="0" borderId="2" xfId="0" applyNumberFormat="1" applyFont="1" applyBorder="1" applyAlignment="1">
      <alignment horizontal="right"/>
    </xf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4B4-A448-469D-8025-54A0FA4A0116}">
  <dimension ref="A1:C18"/>
  <sheetViews>
    <sheetView workbookViewId="0">
      <selection activeCell="C18" sqref="C18"/>
    </sheetView>
  </sheetViews>
  <sheetFormatPr defaultRowHeight="15" x14ac:dyDescent="0.25"/>
  <cols>
    <col min="1" max="1" width="9.140625" style="1"/>
    <col min="2" max="2" width="25.5703125" customWidth="1"/>
  </cols>
  <sheetData>
    <row r="1" spans="1:3" x14ac:dyDescent="0.25">
      <c r="A1" s="1" t="s">
        <v>0</v>
      </c>
      <c r="B1" t="s">
        <v>1</v>
      </c>
    </row>
    <row r="2" spans="1:3" x14ac:dyDescent="0.25">
      <c r="A2" s="1">
        <v>1</v>
      </c>
      <c r="B2" t="s">
        <v>2</v>
      </c>
    </row>
    <row r="3" spans="1:3" x14ac:dyDescent="0.25">
      <c r="C3" t="s">
        <v>3</v>
      </c>
    </row>
    <row r="4" spans="1:3" x14ac:dyDescent="0.25">
      <c r="C4" t="s">
        <v>4</v>
      </c>
    </row>
    <row r="5" spans="1:3" x14ac:dyDescent="0.25">
      <c r="C5" t="s">
        <v>7</v>
      </c>
    </row>
    <row r="6" spans="1:3" x14ac:dyDescent="0.25">
      <c r="C6" t="s">
        <v>5</v>
      </c>
    </row>
    <row r="7" spans="1:3" x14ac:dyDescent="0.25">
      <c r="C7" t="s">
        <v>8</v>
      </c>
    </row>
    <row r="8" spans="1:3" x14ac:dyDescent="0.25">
      <c r="C8" t="s">
        <v>6</v>
      </c>
    </row>
    <row r="10" spans="1:3" x14ac:dyDescent="0.25">
      <c r="A10" s="1">
        <v>2</v>
      </c>
      <c r="B10" t="s">
        <v>9</v>
      </c>
    </row>
    <row r="11" spans="1:3" x14ac:dyDescent="0.25">
      <c r="C11" t="s">
        <v>10</v>
      </c>
    </row>
    <row r="12" spans="1:3" x14ac:dyDescent="0.25">
      <c r="C12" t="s">
        <v>11</v>
      </c>
    </row>
    <row r="13" spans="1:3" x14ac:dyDescent="0.25">
      <c r="C13" t="s">
        <v>12</v>
      </c>
    </row>
    <row r="14" spans="1:3" x14ac:dyDescent="0.25">
      <c r="C14" t="s">
        <v>13</v>
      </c>
    </row>
    <row r="15" spans="1:3" x14ac:dyDescent="0.25">
      <c r="C15" t="s">
        <v>14</v>
      </c>
    </row>
    <row r="16" spans="1:3" x14ac:dyDescent="0.25">
      <c r="C16" t="s">
        <v>15</v>
      </c>
    </row>
    <row r="17" spans="3:3" x14ac:dyDescent="0.25">
      <c r="C17" t="s">
        <v>10</v>
      </c>
    </row>
    <row r="18" spans="3:3" x14ac:dyDescent="0.25">
      <c r="C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2AEF-442A-4610-947E-D3AF1E383196}">
  <dimension ref="A1:G115"/>
  <sheetViews>
    <sheetView topLeftCell="A36" workbookViewId="0">
      <selection activeCell="C60" sqref="C60"/>
    </sheetView>
  </sheetViews>
  <sheetFormatPr defaultRowHeight="15" x14ac:dyDescent="0.25"/>
  <cols>
    <col min="1" max="1" width="9.140625" style="1"/>
    <col min="2" max="2" width="25.85546875" bestFit="1" customWidth="1"/>
    <col min="3" max="3" width="21" customWidth="1"/>
    <col min="4" max="4" width="14.28515625" customWidth="1"/>
    <col min="5" max="5" width="22.140625" customWidth="1"/>
    <col min="6" max="6" width="60.28515625" customWidth="1"/>
  </cols>
  <sheetData>
    <row r="1" spans="1:7" x14ac:dyDescent="0.25">
      <c r="A1" s="2" t="s">
        <v>0</v>
      </c>
      <c r="B1" s="3" t="s">
        <v>1</v>
      </c>
      <c r="C1" s="3"/>
      <c r="D1" s="3" t="s">
        <v>22</v>
      </c>
    </row>
    <row r="2" spans="1:7" x14ac:dyDescent="0.25">
      <c r="A2" s="1">
        <v>1</v>
      </c>
      <c r="B2" t="s">
        <v>3</v>
      </c>
    </row>
    <row r="3" spans="1:7" x14ac:dyDescent="0.25">
      <c r="D3" t="s">
        <v>21</v>
      </c>
      <c r="E3" t="s">
        <v>17</v>
      </c>
      <c r="F3" t="s">
        <v>20</v>
      </c>
    </row>
    <row r="4" spans="1:7" x14ac:dyDescent="0.25">
      <c r="E4" t="s">
        <v>18</v>
      </c>
    </row>
    <row r="5" spans="1:7" x14ac:dyDescent="0.25">
      <c r="E5" t="s">
        <v>19</v>
      </c>
    </row>
    <row r="8" spans="1:7" x14ac:dyDescent="0.25">
      <c r="A8" s="1">
        <v>2</v>
      </c>
      <c r="B8" t="s">
        <v>10</v>
      </c>
    </row>
    <row r="9" spans="1:7" x14ac:dyDescent="0.25">
      <c r="D9" t="s">
        <v>21</v>
      </c>
      <c r="E9" t="s">
        <v>23</v>
      </c>
      <c r="F9" t="s">
        <v>25</v>
      </c>
    </row>
    <row r="10" spans="1:7" x14ac:dyDescent="0.25">
      <c r="E10" t="s">
        <v>24</v>
      </c>
    </row>
    <row r="12" spans="1:7" x14ac:dyDescent="0.25">
      <c r="A12" s="1">
        <v>3</v>
      </c>
      <c r="B12" t="s">
        <v>11</v>
      </c>
    </row>
    <row r="13" spans="1:7" x14ac:dyDescent="0.25">
      <c r="D13" t="s">
        <v>26</v>
      </c>
    </row>
    <row r="15" spans="1:7" x14ac:dyDescent="0.25">
      <c r="A15" s="1">
        <v>4</v>
      </c>
      <c r="B15" t="s">
        <v>12</v>
      </c>
      <c r="G15" t="s">
        <v>45</v>
      </c>
    </row>
    <row r="16" spans="1:7" x14ac:dyDescent="0.25">
      <c r="D16" t="s">
        <v>27</v>
      </c>
      <c r="E16" t="s">
        <v>28</v>
      </c>
    </row>
    <row r="18" spans="3:6" x14ac:dyDescent="0.25">
      <c r="C18" t="s">
        <v>29</v>
      </c>
    </row>
    <row r="19" spans="3:6" x14ac:dyDescent="0.25">
      <c r="D19" t="s">
        <v>27</v>
      </c>
      <c r="E19" t="s">
        <v>31</v>
      </c>
    </row>
    <row r="20" spans="3:6" x14ac:dyDescent="0.25">
      <c r="E20" t="s">
        <v>32</v>
      </c>
      <c r="F20" t="s">
        <v>33</v>
      </c>
    </row>
    <row r="21" spans="3:6" x14ac:dyDescent="0.25">
      <c r="E21" t="s">
        <v>30</v>
      </c>
      <c r="F21" t="s">
        <v>34</v>
      </c>
    </row>
    <row r="22" spans="3:6" x14ac:dyDescent="0.25">
      <c r="F22" t="s">
        <v>35</v>
      </c>
    </row>
    <row r="23" spans="3:6" x14ac:dyDescent="0.25">
      <c r="E23" t="s">
        <v>32</v>
      </c>
      <c r="F23" t="s">
        <v>36</v>
      </c>
    </row>
    <row r="24" spans="3:6" x14ac:dyDescent="0.25">
      <c r="E24" t="s">
        <v>37</v>
      </c>
    </row>
    <row r="25" spans="3:6" x14ac:dyDescent="0.25">
      <c r="E25" t="s">
        <v>38</v>
      </c>
    </row>
    <row r="26" spans="3:6" x14ac:dyDescent="0.25">
      <c r="E26" t="s">
        <v>39</v>
      </c>
    </row>
    <row r="28" spans="3:6" x14ac:dyDescent="0.25">
      <c r="C28" t="s">
        <v>40</v>
      </c>
    </row>
    <row r="29" spans="3:6" x14ac:dyDescent="0.25">
      <c r="D29" t="s">
        <v>27</v>
      </c>
      <c r="E29" t="s">
        <v>41</v>
      </c>
    </row>
    <row r="30" spans="3:6" x14ac:dyDescent="0.25">
      <c r="E30" t="s">
        <v>42</v>
      </c>
    </row>
    <row r="31" spans="3:6" x14ac:dyDescent="0.25">
      <c r="E31" t="s">
        <v>43</v>
      </c>
    </row>
    <row r="33" spans="1:6" x14ac:dyDescent="0.25">
      <c r="E33" t="s">
        <v>30</v>
      </c>
    </row>
    <row r="34" spans="1:6" x14ac:dyDescent="0.25">
      <c r="E34" t="s">
        <v>32</v>
      </c>
    </row>
    <row r="35" spans="1:6" x14ac:dyDescent="0.25">
      <c r="E35" t="s">
        <v>37</v>
      </c>
    </row>
    <row r="36" spans="1:6" x14ac:dyDescent="0.25">
      <c r="E36" t="s">
        <v>38</v>
      </c>
    </row>
    <row r="37" spans="1:6" x14ac:dyDescent="0.25">
      <c r="E37" t="s">
        <v>39</v>
      </c>
    </row>
    <row r="39" spans="1:6" x14ac:dyDescent="0.25">
      <c r="E39" t="s">
        <v>30</v>
      </c>
      <c r="F39" t="s">
        <v>44</v>
      </c>
    </row>
    <row r="40" spans="1:6" x14ac:dyDescent="0.25">
      <c r="E40" t="s">
        <v>32</v>
      </c>
    </row>
    <row r="41" spans="1:6" x14ac:dyDescent="0.25">
      <c r="E41" t="s">
        <v>37</v>
      </c>
    </row>
    <row r="42" spans="1:6" x14ac:dyDescent="0.25">
      <c r="E42" t="s">
        <v>38</v>
      </c>
    </row>
    <row r="43" spans="1:6" x14ac:dyDescent="0.25">
      <c r="E43" t="s">
        <v>39</v>
      </c>
    </row>
    <row r="46" spans="1:6" x14ac:dyDescent="0.25">
      <c r="A46" s="1">
        <v>5</v>
      </c>
      <c r="B46" t="s">
        <v>13</v>
      </c>
    </row>
    <row r="48" spans="1:6" x14ac:dyDescent="0.25">
      <c r="D48" t="s">
        <v>46</v>
      </c>
    </row>
    <row r="49" spans="1:6" x14ac:dyDescent="0.25">
      <c r="E49" t="s">
        <v>47</v>
      </c>
      <c r="F49" t="s">
        <v>55</v>
      </c>
    </row>
    <row r="50" spans="1:6" x14ac:dyDescent="0.25">
      <c r="F50" t="s">
        <v>56</v>
      </c>
    </row>
    <row r="51" spans="1:6" x14ac:dyDescent="0.25">
      <c r="F51" t="s">
        <v>57</v>
      </c>
    </row>
    <row r="52" spans="1:6" x14ac:dyDescent="0.25">
      <c r="E52" t="s">
        <v>48</v>
      </c>
    </row>
    <row r="53" spans="1:6" x14ac:dyDescent="0.25">
      <c r="E53" t="s">
        <v>19</v>
      </c>
    </row>
    <row r="54" spans="1:6" x14ac:dyDescent="0.25">
      <c r="E54" t="s">
        <v>49</v>
      </c>
    </row>
    <row r="55" spans="1:6" x14ac:dyDescent="0.25">
      <c r="E55" t="s">
        <v>50</v>
      </c>
    </row>
    <row r="57" spans="1:6" x14ac:dyDescent="0.25">
      <c r="E57" t="s">
        <v>51</v>
      </c>
      <c r="F57" t="s">
        <v>52</v>
      </c>
    </row>
    <row r="58" spans="1:6" x14ac:dyDescent="0.25">
      <c r="F58" t="s">
        <v>53</v>
      </c>
    </row>
    <row r="59" spans="1:6" x14ac:dyDescent="0.25">
      <c r="F59" t="s">
        <v>54</v>
      </c>
    </row>
    <row r="62" spans="1:6" x14ac:dyDescent="0.25">
      <c r="A62" s="1">
        <v>6</v>
      </c>
      <c r="B62" t="s">
        <v>14</v>
      </c>
    </row>
    <row r="64" spans="1:6" x14ac:dyDescent="0.25">
      <c r="C64" t="s">
        <v>77</v>
      </c>
      <c r="E64" t="s">
        <v>82</v>
      </c>
    </row>
    <row r="65" spans="3:6" x14ac:dyDescent="0.25">
      <c r="E65" t="s">
        <v>78</v>
      </c>
    </row>
    <row r="66" spans="3:6" x14ac:dyDescent="0.25">
      <c r="E66" t="s">
        <v>79</v>
      </c>
    </row>
    <row r="69" spans="3:6" x14ac:dyDescent="0.25">
      <c r="C69" t="s">
        <v>76</v>
      </c>
    </row>
    <row r="71" spans="3:6" x14ac:dyDescent="0.25">
      <c r="D71" t="s">
        <v>58</v>
      </c>
    </row>
    <row r="72" spans="3:6" x14ac:dyDescent="0.25">
      <c r="E72" t="s">
        <v>59</v>
      </c>
      <c r="F72" t="s">
        <v>60</v>
      </c>
    </row>
    <row r="73" spans="3:6" x14ac:dyDescent="0.25">
      <c r="F73" t="s">
        <v>61</v>
      </c>
    </row>
    <row r="74" spans="3:6" x14ac:dyDescent="0.25">
      <c r="F74" t="s">
        <v>62</v>
      </c>
    </row>
    <row r="75" spans="3:6" x14ac:dyDescent="0.25">
      <c r="E75" t="s">
        <v>63</v>
      </c>
    </row>
    <row r="76" spans="3:6" x14ac:dyDescent="0.25">
      <c r="E76" t="s">
        <v>64</v>
      </c>
    </row>
    <row r="77" spans="3:6" x14ac:dyDescent="0.25">
      <c r="E77" t="s">
        <v>80</v>
      </c>
      <c r="F77" t="s">
        <v>81</v>
      </c>
    </row>
    <row r="79" spans="3:6" x14ac:dyDescent="0.25">
      <c r="C79" t="s">
        <v>74</v>
      </c>
    </row>
    <row r="80" spans="3:6" x14ac:dyDescent="0.25">
      <c r="D80" t="s">
        <v>72</v>
      </c>
      <c r="E80" t="s">
        <v>75</v>
      </c>
    </row>
    <row r="83" spans="1:5" x14ac:dyDescent="0.25">
      <c r="A83" s="1">
        <v>7</v>
      </c>
      <c r="B83" t="s">
        <v>15</v>
      </c>
    </row>
    <row r="84" spans="1:5" x14ac:dyDescent="0.25">
      <c r="D84" t="s">
        <v>58</v>
      </c>
    </row>
    <row r="86" spans="1:5" x14ac:dyDescent="0.25">
      <c r="D86" t="s">
        <v>65</v>
      </c>
    </row>
    <row r="87" spans="1:5" x14ac:dyDescent="0.25">
      <c r="D87" t="s">
        <v>66</v>
      </c>
    </row>
    <row r="88" spans="1:5" x14ac:dyDescent="0.25">
      <c r="D88" t="s">
        <v>67</v>
      </c>
      <c r="E88" t="s">
        <v>68</v>
      </c>
    </row>
    <row r="89" spans="1:5" x14ac:dyDescent="0.25">
      <c r="D89" t="s">
        <v>69</v>
      </c>
      <c r="E89" t="s">
        <v>70</v>
      </c>
    </row>
    <row r="90" spans="1:5" x14ac:dyDescent="0.25">
      <c r="D90" t="s">
        <v>71</v>
      </c>
    </row>
    <row r="91" spans="1:5" x14ac:dyDescent="0.25">
      <c r="D91" t="s">
        <v>72</v>
      </c>
      <c r="E91" t="s">
        <v>73</v>
      </c>
    </row>
    <row r="93" spans="1:5" x14ac:dyDescent="0.25">
      <c r="C93" t="s">
        <v>74</v>
      </c>
    </row>
    <row r="94" spans="1:5" x14ac:dyDescent="0.25">
      <c r="D94" t="s">
        <v>72</v>
      </c>
      <c r="E94" t="s">
        <v>75</v>
      </c>
    </row>
    <row r="96" spans="1:5" x14ac:dyDescent="0.25">
      <c r="C96" t="s">
        <v>83</v>
      </c>
    </row>
    <row r="98" spans="1:6" x14ac:dyDescent="0.25">
      <c r="C98" t="s">
        <v>10</v>
      </c>
      <c r="F98" t="s">
        <v>25</v>
      </c>
    </row>
    <row r="100" spans="1:6" x14ac:dyDescent="0.25">
      <c r="C100" t="s">
        <v>84</v>
      </c>
    </row>
    <row r="103" spans="1:6" x14ac:dyDescent="0.25">
      <c r="A103" s="1">
        <v>8</v>
      </c>
      <c r="B103" t="s">
        <v>10</v>
      </c>
    </row>
    <row r="104" spans="1:6" x14ac:dyDescent="0.25">
      <c r="C104" t="s">
        <v>85</v>
      </c>
    </row>
    <row r="107" spans="1:6" x14ac:dyDescent="0.25">
      <c r="A107" s="1">
        <v>9</v>
      </c>
      <c r="B107" t="s">
        <v>16</v>
      </c>
    </row>
    <row r="108" spans="1:6" x14ac:dyDescent="0.25">
      <c r="E108" t="s">
        <v>91</v>
      </c>
    </row>
    <row r="109" spans="1:6" x14ac:dyDescent="0.25">
      <c r="E109" s="4" t="s">
        <v>92</v>
      </c>
    </row>
    <row r="110" spans="1:6" x14ac:dyDescent="0.25">
      <c r="E110" t="s">
        <v>86</v>
      </c>
    </row>
    <row r="111" spans="1:6" x14ac:dyDescent="0.25">
      <c r="E111" t="s">
        <v>87</v>
      </c>
    </row>
    <row r="112" spans="1:6" x14ac:dyDescent="0.25">
      <c r="E112" t="s">
        <v>88</v>
      </c>
    </row>
    <row r="113" spans="5:5" x14ac:dyDescent="0.25">
      <c r="E113" t="s">
        <v>89</v>
      </c>
    </row>
    <row r="115" spans="5:5" x14ac:dyDescent="0.25">
      <c r="E115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C3B1-24FA-4FED-BC7A-88F029B5579B}">
  <dimension ref="A1:L17"/>
  <sheetViews>
    <sheetView workbookViewId="0">
      <selection activeCell="E3" sqref="E3:F4"/>
    </sheetView>
  </sheetViews>
  <sheetFormatPr defaultRowHeight="15" x14ac:dyDescent="0.25"/>
  <cols>
    <col min="1" max="1" width="18.28515625" customWidth="1"/>
    <col min="5" max="5" width="12.42578125" bestFit="1" customWidth="1"/>
    <col min="6" max="7" width="15.85546875" bestFit="1" customWidth="1"/>
    <col min="8" max="8" width="13.42578125" bestFit="1" customWidth="1"/>
    <col min="9" max="9" width="10.85546875" bestFit="1" customWidth="1"/>
    <col min="10" max="10" width="13.42578125" bestFit="1" customWidth="1"/>
    <col min="11" max="11" width="10.85546875" bestFit="1" customWidth="1"/>
  </cols>
  <sheetData>
    <row r="1" spans="1:12" x14ac:dyDescent="0.25">
      <c r="A1" s="3" t="s">
        <v>1</v>
      </c>
      <c r="B1" t="s">
        <v>3</v>
      </c>
    </row>
    <row r="3" spans="1:12" x14ac:dyDescent="0.25">
      <c r="E3" s="2" t="s">
        <v>93</v>
      </c>
      <c r="F3" s="2" t="s">
        <v>48</v>
      </c>
      <c r="G3" s="2" t="s">
        <v>19</v>
      </c>
      <c r="H3" s="2" t="s">
        <v>18</v>
      </c>
      <c r="I3" s="2" t="s">
        <v>94</v>
      </c>
      <c r="J3" s="2" t="s">
        <v>17</v>
      </c>
    </row>
    <row r="4" spans="1:12" x14ac:dyDescent="0.25">
      <c r="E4" s="1">
        <v>61484</v>
      </c>
      <c r="F4" s="5">
        <v>44765</v>
      </c>
      <c r="G4" s="8">
        <v>44766</v>
      </c>
      <c r="H4" s="6" t="s">
        <v>95</v>
      </c>
      <c r="I4" s="1">
        <v>103</v>
      </c>
      <c r="J4" s="6">
        <v>1</v>
      </c>
    </row>
    <row r="5" spans="1:12" x14ac:dyDescent="0.25">
      <c r="E5" s="1">
        <v>61485</v>
      </c>
      <c r="F5" s="5">
        <v>44766</v>
      </c>
      <c r="G5" s="7">
        <v>44769</v>
      </c>
      <c r="H5" s="6">
        <v>103</v>
      </c>
      <c r="I5" s="1">
        <v>176</v>
      </c>
      <c r="J5" s="1">
        <v>0</v>
      </c>
    </row>
    <row r="6" spans="1:12" x14ac:dyDescent="0.25">
      <c r="E6" s="1">
        <v>61486</v>
      </c>
      <c r="F6" s="5">
        <v>44769</v>
      </c>
      <c r="G6" s="7">
        <v>44773</v>
      </c>
      <c r="H6" s="6">
        <v>176</v>
      </c>
      <c r="I6" s="1">
        <v>103</v>
      </c>
      <c r="J6" s="1">
        <v>0</v>
      </c>
    </row>
    <row r="12" spans="1:12" x14ac:dyDescent="0.25">
      <c r="B12" t="s">
        <v>10</v>
      </c>
    </row>
    <row r="14" spans="1:12" x14ac:dyDescent="0.25">
      <c r="E14" s="2" t="s">
        <v>93</v>
      </c>
      <c r="F14" s="2" t="s">
        <v>48</v>
      </c>
      <c r="G14" s="2" t="s">
        <v>23</v>
      </c>
      <c r="H14" s="2" t="s">
        <v>19</v>
      </c>
      <c r="I14" s="2" t="s">
        <v>24</v>
      </c>
      <c r="J14" s="3" t="s">
        <v>18</v>
      </c>
      <c r="K14" s="3" t="s">
        <v>94</v>
      </c>
      <c r="L14" s="3" t="s">
        <v>17</v>
      </c>
    </row>
    <row r="15" spans="1:12" x14ac:dyDescent="0.25">
      <c r="E15" s="1">
        <v>61484</v>
      </c>
      <c r="F15" s="5">
        <v>44765</v>
      </c>
      <c r="G15" s="11">
        <v>0.4375</v>
      </c>
      <c r="H15" s="9">
        <v>44766</v>
      </c>
      <c r="I15" s="11">
        <v>0.375</v>
      </c>
      <c r="J15" s="10" t="s">
        <v>95</v>
      </c>
      <c r="K15" s="1">
        <v>103</v>
      </c>
      <c r="L15" s="6">
        <v>1</v>
      </c>
    </row>
    <row r="16" spans="1:12" x14ac:dyDescent="0.25">
      <c r="E16" s="1">
        <v>61485</v>
      </c>
      <c r="F16" s="5">
        <v>44766</v>
      </c>
      <c r="G16" s="11">
        <v>0.58333333333333337</v>
      </c>
      <c r="H16" s="9">
        <v>44769</v>
      </c>
      <c r="I16" s="11">
        <v>0.375</v>
      </c>
      <c r="J16" s="10">
        <v>103</v>
      </c>
      <c r="K16" s="1">
        <v>176</v>
      </c>
      <c r="L16" s="1">
        <v>0</v>
      </c>
    </row>
    <row r="17" spans="5:12" x14ac:dyDescent="0.25">
      <c r="E17" s="1">
        <v>61486</v>
      </c>
      <c r="F17" s="5">
        <v>44769</v>
      </c>
      <c r="G17" s="11">
        <v>0.58333333333333337</v>
      </c>
      <c r="H17" s="9">
        <v>44773</v>
      </c>
      <c r="I17" s="11">
        <v>0.56597222222222221</v>
      </c>
      <c r="J17" s="10">
        <v>176</v>
      </c>
      <c r="K17" s="1">
        <v>103</v>
      </c>
      <c r="L17" s="1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0749-6A7E-4A57-8660-39571015D6DE}">
  <dimension ref="A1:M76"/>
  <sheetViews>
    <sheetView topLeftCell="B36" workbookViewId="0">
      <selection activeCell="G47" sqref="G47"/>
    </sheetView>
  </sheetViews>
  <sheetFormatPr defaultRowHeight="15" x14ac:dyDescent="0.25"/>
  <cols>
    <col min="1" max="1" width="22" customWidth="1"/>
    <col min="5" max="5" width="13.7109375" bestFit="1" customWidth="1"/>
    <col min="6" max="6" width="9.85546875" bestFit="1" customWidth="1"/>
    <col min="7" max="7" width="13.7109375" bestFit="1" customWidth="1"/>
    <col min="8" max="8" width="16.7109375" bestFit="1" customWidth="1"/>
    <col min="9" max="9" width="10.42578125" bestFit="1" customWidth="1"/>
    <col min="10" max="10" width="9" bestFit="1" customWidth="1"/>
    <col min="11" max="11" width="17.85546875" bestFit="1" customWidth="1"/>
    <col min="12" max="12" width="16.7109375" bestFit="1" customWidth="1"/>
    <col min="13" max="13" width="14.42578125" bestFit="1" customWidth="1"/>
  </cols>
  <sheetData>
    <row r="1" spans="1:12" x14ac:dyDescent="0.25">
      <c r="A1" s="3" t="s">
        <v>1</v>
      </c>
      <c r="B1" t="s">
        <v>12</v>
      </c>
    </row>
    <row r="3" spans="1:12" x14ac:dyDescent="0.25">
      <c r="E3" s="2" t="s">
        <v>96</v>
      </c>
      <c r="F3" s="2" t="s">
        <v>97</v>
      </c>
      <c r="G3" s="2" t="s">
        <v>41</v>
      </c>
      <c r="H3" s="2" t="s">
        <v>42</v>
      </c>
      <c r="I3" s="2" t="s">
        <v>30</v>
      </c>
      <c r="J3" s="2" t="s">
        <v>32</v>
      </c>
      <c r="K3" s="2" t="s">
        <v>38</v>
      </c>
      <c r="L3" s="2" t="s">
        <v>37</v>
      </c>
    </row>
    <row r="4" spans="1:12" x14ac:dyDescent="0.25">
      <c r="E4" s="1">
        <v>56066</v>
      </c>
      <c r="F4" s="1">
        <v>5</v>
      </c>
      <c r="G4" s="1" t="s">
        <v>95</v>
      </c>
      <c r="H4" s="1" t="s">
        <v>95</v>
      </c>
      <c r="I4" s="6">
        <v>0</v>
      </c>
      <c r="J4" s="6">
        <v>0</v>
      </c>
      <c r="K4" s="6" t="s">
        <v>95</v>
      </c>
      <c r="L4" s="6" t="s">
        <v>95</v>
      </c>
    </row>
    <row r="5" spans="1:12" x14ac:dyDescent="0.25">
      <c r="E5" s="1">
        <v>56067</v>
      </c>
      <c r="F5" s="1">
        <v>5</v>
      </c>
      <c r="G5" s="1" t="s">
        <v>95</v>
      </c>
      <c r="H5" s="1" t="s">
        <v>95</v>
      </c>
      <c r="I5" s="6">
        <v>0</v>
      </c>
      <c r="J5" s="6">
        <v>0</v>
      </c>
      <c r="K5" s="6" t="s">
        <v>95</v>
      </c>
      <c r="L5" s="6" t="s">
        <v>95</v>
      </c>
    </row>
    <row r="6" spans="1:12" x14ac:dyDescent="0.25">
      <c r="E6" s="1">
        <v>56068</v>
      </c>
      <c r="F6" s="1">
        <v>5</v>
      </c>
      <c r="G6" s="1" t="s">
        <v>95</v>
      </c>
      <c r="H6" s="1" t="s">
        <v>95</v>
      </c>
      <c r="I6" s="6">
        <v>0</v>
      </c>
      <c r="J6" s="6">
        <v>0</v>
      </c>
      <c r="K6" s="6" t="s">
        <v>95</v>
      </c>
      <c r="L6" s="6" t="s">
        <v>95</v>
      </c>
    </row>
    <row r="7" spans="1:12" x14ac:dyDescent="0.25">
      <c r="E7" s="1">
        <v>56069</v>
      </c>
      <c r="F7" s="1">
        <v>5</v>
      </c>
      <c r="G7" s="1" t="s">
        <v>95</v>
      </c>
      <c r="H7" s="1" t="s">
        <v>95</v>
      </c>
      <c r="I7" s="6">
        <v>0</v>
      </c>
      <c r="J7" s="6">
        <v>0</v>
      </c>
      <c r="K7" s="6" t="s">
        <v>95</v>
      </c>
      <c r="L7" s="6" t="s">
        <v>95</v>
      </c>
    </row>
    <row r="8" spans="1:12" x14ac:dyDescent="0.25">
      <c r="E8" s="1">
        <v>56070</v>
      </c>
      <c r="F8" s="1">
        <v>5</v>
      </c>
      <c r="G8" s="1" t="s">
        <v>95</v>
      </c>
      <c r="H8" s="1" t="s">
        <v>95</v>
      </c>
      <c r="I8" s="6">
        <v>0</v>
      </c>
      <c r="J8" s="6">
        <v>0</v>
      </c>
      <c r="K8" s="6" t="s">
        <v>95</v>
      </c>
      <c r="L8" s="6" t="s">
        <v>95</v>
      </c>
    </row>
    <row r="9" spans="1:12" x14ac:dyDescent="0.25">
      <c r="E9" s="1">
        <v>56073</v>
      </c>
      <c r="F9" s="1">
        <v>2</v>
      </c>
      <c r="G9" s="1" t="s">
        <v>95</v>
      </c>
      <c r="H9" s="1" t="s">
        <v>95</v>
      </c>
      <c r="I9" s="6">
        <v>0</v>
      </c>
      <c r="J9" s="6">
        <v>0</v>
      </c>
      <c r="K9" s="6" t="s">
        <v>95</v>
      </c>
      <c r="L9" s="6" t="s">
        <v>95</v>
      </c>
    </row>
    <row r="10" spans="1:12" x14ac:dyDescent="0.25">
      <c r="E10" s="1">
        <v>56074</v>
      </c>
      <c r="F10" s="1">
        <v>5</v>
      </c>
      <c r="G10" s="1" t="s">
        <v>95</v>
      </c>
      <c r="H10" s="1" t="s">
        <v>95</v>
      </c>
      <c r="I10" s="6">
        <v>0</v>
      </c>
      <c r="J10" s="6">
        <v>0</v>
      </c>
      <c r="K10" s="6" t="s">
        <v>95</v>
      </c>
      <c r="L10" s="6" t="s">
        <v>95</v>
      </c>
    </row>
    <row r="11" spans="1:12" x14ac:dyDescent="0.25">
      <c r="E11" s="1">
        <v>56075</v>
      </c>
      <c r="F11" s="1">
        <v>5</v>
      </c>
      <c r="G11" s="1" t="s">
        <v>95</v>
      </c>
      <c r="H11" s="1" t="s">
        <v>95</v>
      </c>
      <c r="I11" s="6">
        <v>0</v>
      </c>
      <c r="J11" s="6">
        <v>0</v>
      </c>
      <c r="K11" s="6" t="s">
        <v>95</v>
      </c>
      <c r="L11" s="6" t="s">
        <v>95</v>
      </c>
    </row>
    <row r="12" spans="1:12" x14ac:dyDescent="0.25">
      <c r="E12" s="1">
        <v>56076</v>
      </c>
      <c r="F12" s="1">
        <v>5</v>
      </c>
      <c r="G12" s="1" t="s">
        <v>95</v>
      </c>
      <c r="H12" s="1" t="s">
        <v>95</v>
      </c>
      <c r="I12" s="6">
        <v>0</v>
      </c>
      <c r="J12" s="6">
        <v>0</v>
      </c>
      <c r="K12" s="6" t="s">
        <v>95</v>
      </c>
      <c r="L12" s="6" t="s">
        <v>95</v>
      </c>
    </row>
    <row r="13" spans="1:12" x14ac:dyDescent="0.25">
      <c r="E13" s="1">
        <v>56077</v>
      </c>
      <c r="F13" s="1">
        <v>2</v>
      </c>
      <c r="G13" s="1" t="s">
        <v>95</v>
      </c>
      <c r="H13" s="1" t="s">
        <v>95</v>
      </c>
      <c r="I13" s="6">
        <v>0</v>
      </c>
      <c r="J13" s="6">
        <v>0</v>
      </c>
      <c r="K13" s="6" t="s">
        <v>95</v>
      </c>
      <c r="L13" s="6" t="s">
        <v>95</v>
      </c>
    </row>
    <row r="14" spans="1:12" x14ac:dyDescent="0.25">
      <c r="E14" s="1">
        <v>56078</v>
      </c>
      <c r="F14" s="1">
        <v>5</v>
      </c>
      <c r="G14" s="1" t="s">
        <v>95</v>
      </c>
      <c r="H14" s="1" t="s">
        <v>95</v>
      </c>
      <c r="I14" s="6">
        <v>0</v>
      </c>
      <c r="J14" s="6">
        <v>0</v>
      </c>
      <c r="K14" s="6" t="s">
        <v>95</v>
      </c>
      <c r="L14" s="6" t="s">
        <v>95</v>
      </c>
    </row>
    <row r="15" spans="1:12" x14ac:dyDescent="0.25">
      <c r="E15" s="1">
        <v>56202</v>
      </c>
      <c r="F15" s="1">
        <v>2</v>
      </c>
      <c r="G15" s="1" t="s">
        <v>95</v>
      </c>
      <c r="H15" s="1" t="s">
        <v>95</v>
      </c>
      <c r="I15" s="6">
        <v>0</v>
      </c>
      <c r="J15" s="6">
        <v>0</v>
      </c>
      <c r="K15" s="6" t="s">
        <v>95</v>
      </c>
      <c r="L15" s="6" t="s">
        <v>95</v>
      </c>
    </row>
    <row r="16" spans="1:12" x14ac:dyDescent="0.25">
      <c r="E16" s="1">
        <v>56203</v>
      </c>
      <c r="F16" s="1">
        <v>5</v>
      </c>
      <c r="G16" s="1" t="s">
        <v>95</v>
      </c>
      <c r="H16" s="1" t="s">
        <v>95</v>
      </c>
      <c r="I16" s="6">
        <v>0</v>
      </c>
      <c r="J16" s="6">
        <v>0</v>
      </c>
      <c r="K16" s="6" t="s">
        <v>95</v>
      </c>
      <c r="L16" s="6" t="s">
        <v>95</v>
      </c>
    </row>
    <row r="21" spans="2:12" x14ac:dyDescent="0.25">
      <c r="B21" t="s">
        <v>98</v>
      </c>
    </row>
    <row r="22" spans="2:12" x14ac:dyDescent="0.25">
      <c r="E22" s="2" t="s">
        <v>96</v>
      </c>
      <c r="F22" s="2" t="s">
        <v>97</v>
      </c>
      <c r="G22" s="2" t="s">
        <v>41</v>
      </c>
      <c r="H22" s="2" t="s">
        <v>42</v>
      </c>
      <c r="I22" s="2" t="s">
        <v>30</v>
      </c>
      <c r="J22" s="2" t="s">
        <v>32</v>
      </c>
      <c r="K22" s="2" t="s">
        <v>38</v>
      </c>
      <c r="L22" s="2" t="s">
        <v>37</v>
      </c>
    </row>
    <row r="23" spans="2:12" x14ac:dyDescent="0.25">
      <c r="E23" s="1">
        <v>56066</v>
      </c>
      <c r="F23" s="1">
        <v>5</v>
      </c>
      <c r="G23" s="1">
        <v>1</v>
      </c>
      <c r="H23" s="1" t="s">
        <v>95</v>
      </c>
      <c r="I23" s="6">
        <v>1</v>
      </c>
      <c r="J23" s="6">
        <v>1</v>
      </c>
      <c r="K23" s="13">
        <v>43726.75</v>
      </c>
      <c r="L23" s="13">
        <v>43725.375</v>
      </c>
    </row>
    <row r="24" spans="2:12" x14ac:dyDescent="0.25">
      <c r="E24" s="1">
        <v>56067</v>
      </c>
      <c r="F24" s="1">
        <v>5</v>
      </c>
      <c r="G24" s="1">
        <v>1</v>
      </c>
      <c r="H24" s="1" t="s">
        <v>95</v>
      </c>
      <c r="I24" s="6">
        <v>1</v>
      </c>
      <c r="J24" s="6">
        <v>2</v>
      </c>
      <c r="K24" s="13">
        <v>43733.75</v>
      </c>
      <c r="L24" s="13">
        <v>43729.375</v>
      </c>
    </row>
    <row r="25" spans="2:12" x14ac:dyDescent="0.25">
      <c r="E25" s="1">
        <v>56068</v>
      </c>
      <c r="F25" s="1">
        <v>5</v>
      </c>
      <c r="G25" s="1">
        <v>1</v>
      </c>
      <c r="H25" s="1" t="s">
        <v>95</v>
      </c>
      <c r="I25" s="1">
        <v>0</v>
      </c>
      <c r="J25" s="6">
        <v>2</v>
      </c>
      <c r="K25" s="13">
        <v>43733.75</v>
      </c>
      <c r="L25" s="13">
        <v>43729.375</v>
      </c>
    </row>
    <row r="26" spans="2:12" x14ac:dyDescent="0.25">
      <c r="E26" s="1">
        <v>56069</v>
      </c>
      <c r="F26" s="1">
        <v>5</v>
      </c>
      <c r="G26" s="1">
        <v>1</v>
      </c>
      <c r="H26" s="1" t="s">
        <v>95</v>
      </c>
      <c r="I26" s="1">
        <v>0</v>
      </c>
      <c r="J26" s="6">
        <v>2</v>
      </c>
      <c r="K26" s="13">
        <v>43733.75</v>
      </c>
      <c r="L26" s="13">
        <v>43729.375</v>
      </c>
    </row>
    <row r="27" spans="2:12" x14ac:dyDescent="0.25">
      <c r="E27" s="1">
        <v>56070</v>
      </c>
      <c r="F27" s="1">
        <v>5</v>
      </c>
      <c r="G27" s="1">
        <v>1</v>
      </c>
      <c r="H27" s="1" t="s">
        <v>95</v>
      </c>
      <c r="I27" s="1">
        <v>0</v>
      </c>
      <c r="J27" s="6">
        <v>2</v>
      </c>
      <c r="K27" s="13">
        <v>43733.75</v>
      </c>
      <c r="L27" s="13">
        <v>43729.375</v>
      </c>
    </row>
    <row r="28" spans="2:12" x14ac:dyDescent="0.25">
      <c r="E28" s="1">
        <v>56202</v>
      </c>
      <c r="F28" s="1">
        <v>2</v>
      </c>
      <c r="G28" s="1" t="s">
        <v>95</v>
      </c>
      <c r="H28" s="1" t="s">
        <v>95</v>
      </c>
      <c r="I28" s="6">
        <v>1</v>
      </c>
      <c r="J28" s="6">
        <v>3</v>
      </c>
      <c r="K28" s="6" t="s">
        <v>95</v>
      </c>
      <c r="L28" s="6" t="s">
        <v>95</v>
      </c>
    </row>
    <row r="29" spans="2:12" x14ac:dyDescent="0.25">
      <c r="E29" s="1">
        <v>56203</v>
      </c>
      <c r="F29" s="1">
        <v>5</v>
      </c>
      <c r="G29" s="1">
        <v>1</v>
      </c>
      <c r="H29" s="1" t="s">
        <v>95</v>
      </c>
      <c r="I29" s="6">
        <v>1</v>
      </c>
      <c r="J29" s="6">
        <v>4</v>
      </c>
      <c r="K29" s="13">
        <v>43736.541666666664</v>
      </c>
      <c r="L29" s="13">
        <v>43736.201388888891</v>
      </c>
    </row>
    <row r="30" spans="2:12" x14ac:dyDescent="0.25">
      <c r="E30" s="1">
        <v>56073</v>
      </c>
      <c r="F30" s="1">
        <v>2</v>
      </c>
      <c r="G30" s="1" t="s">
        <v>95</v>
      </c>
      <c r="H30" s="1" t="s">
        <v>95</v>
      </c>
      <c r="I30" s="6">
        <v>1</v>
      </c>
      <c r="J30" s="6">
        <v>5</v>
      </c>
      <c r="K30" s="13" t="s">
        <v>95</v>
      </c>
      <c r="L30" s="13" t="s">
        <v>95</v>
      </c>
    </row>
    <row r="31" spans="2:12" x14ac:dyDescent="0.25">
      <c r="E31" s="1">
        <v>56074</v>
      </c>
      <c r="F31" s="1">
        <v>5</v>
      </c>
      <c r="G31" s="1">
        <v>3</v>
      </c>
      <c r="H31" s="1">
        <v>2</v>
      </c>
      <c r="I31" s="6">
        <v>1</v>
      </c>
      <c r="J31" s="6">
        <v>6</v>
      </c>
      <c r="K31" s="13">
        <v>43740.5</v>
      </c>
      <c r="L31" s="13">
        <v>43738.447916666664</v>
      </c>
    </row>
    <row r="32" spans="2:12" x14ac:dyDescent="0.25">
      <c r="E32" s="1">
        <v>56075</v>
      </c>
      <c r="F32" s="1">
        <v>5</v>
      </c>
      <c r="G32" s="1">
        <v>3</v>
      </c>
      <c r="H32" s="1">
        <v>2</v>
      </c>
      <c r="I32" s="10">
        <v>0</v>
      </c>
      <c r="J32" s="6">
        <v>6</v>
      </c>
      <c r="K32" s="13">
        <v>43740.5</v>
      </c>
      <c r="L32" s="13">
        <v>43738.447916666664</v>
      </c>
    </row>
    <row r="33" spans="2:12" x14ac:dyDescent="0.25">
      <c r="E33" s="1">
        <v>56076</v>
      </c>
      <c r="F33" s="1">
        <v>5</v>
      </c>
      <c r="G33" s="1">
        <v>3</v>
      </c>
      <c r="H33" s="1">
        <v>2</v>
      </c>
      <c r="I33" s="10">
        <v>0</v>
      </c>
      <c r="J33" s="6">
        <v>6</v>
      </c>
      <c r="K33" s="13">
        <v>43740.5</v>
      </c>
      <c r="L33" s="13">
        <v>43738.447916666664</v>
      </c>
    </row>
    <row r="34" spans="2:12" x14ac:dyDescent="0.25">
      <c r="E34" s="1">
        <v>56077</v>
      </c>
      <c r="F34" s="1">
        <v>2</v>
      </c>
      <c r="G34" s="1" t="s">
        <v>95</v>
      </c>
      <c r="H34" s="1" t="s">
        <v>95</v>
      </c>
      <c r="I34" s="6">
        <v>1</v>
      </c>
      <c r="J34" s="6">
        <v>7</v>
      </c>
      <c r="K34" s="6" t="s">
        <v>95</v>
      </c>
      <c r="L34" s="6" t="s">
        <v>95</v>
      </c>
    </row>
    <row r="35" spans="2:12" x14ac:dyDescent="0.25">
      <c r="E35" s="1">
        <v>56078</v>
      </c>
      <c r="F35" s="1">
        <v>5</v>
      </c>
      <c r="G35" s="1">
        <v>2</v>
      </c>
      <c r="H35" s="1" t="s">
        <v>95</v>
      </c>
      <c r="I35" s="6">
        <v>1</v>
      </c>
      <c r="J35" s="6">
        <v>8</v>
      </c>
      <c r="K35" s="13">
        <v>43742.791666666664</v>
      </c>
      <c r="L35" s="13">
        <v>43742.375</v>
      </c>
    </row>
    <row r="39" spans="2:12" x14ac:dyDescent="0.25">
      <c r="B39" t="s">
        <v>40</v>
      </c>
    </row>
    <row r="40" spans="2:12" x14ac:dyDescent="0.25">
      <c r="E40" s="2" t="s">
        <v>96</v>
      </c>
      <c r="F40" s="2" t="s">
        <v>97</v>
      </c>
      <c r="G40" s="2" t="s">
        <v>41</v>
      </c>
      <c r="H40" s="2" t="s">
        <v>42</v>
      </c>
      <c r="I40" s="2" t="s">
        <v>30</v>
      </c>
      <c r="J40" s="2" t="s">
        <v>32</v>
      </c>
      <c r="K40" s="2" t="s">
        <v>38</v>
      </c>
      <c r="L40" s="2" t="s">
        <v>37</v>
      </c>
    </row>
    <row r="41" spans="2:12" x14ac:dyDescent="0.25">
      <c r="E41" s="1">
        <v>56066</v>
      </c>
      <c r="F41" s="1">
        <v>5</v>
      </c>
      <c r="G41" s="6">
        <v>1</v>
      </c>
      <c r="H41" s="1" t="s">
        <v>95</v>
      </c>
      <c r="I41" s="10">
        <v>1</v>
      </c>
      <c r="J41" s="10">
        <v>1</v>
      </c>
      <c r="K41" s="12">
        <v>43726.75</v>
      </c>
      <c r="L41" s="12">
        <v>43725.375</v>
      </c>
    </row>
    <row r="42" spans="2:12" x14ac:dyDescent="0.25">
      <c r="E42" s="1">
        <v>56067</v>
      </c>
      <c r="F42" s="1">
        <v>5</v>
      </c>
      <c r="G42" s="6">
        <v>1</v>
      </c>
      <c r="H42" s="1" t="s">
        <v>95</v>
      </c>
      <c r="I42" s="10">
        <v>1</v>
      </c>
      <c r="J42" s="10">
        <v>2</v>
      </c>
      <c r="K42" s="12">
        <v>43733.75</v>
      </c>
      <c r="L42" s="12">
        <v>43729.375</v>
      </c>
    </row>
    <row r="43" spans="2:12" x14ac:dyDescent="0.25">
      <c r="E43" s="1">
        <v>56068</v>
      </c>
      <c r="F43" s="1">
        <v>5</v>
      </c>
      <c r="G43" s="6">
        <v>1</v>
      </c>
      <c r="H43" s="1" t="s">
        <v>95</v>
      </c>
      <c r="I43" s="10">
        <v>0</v>
      </c>
      <c r="J43" s="10">
        <v>2</v>
      </c>
      <c r="K43" s="12">
        <v>43733.75</v>
      </c>
      <c r="L43" s="12">
        <v>43729.375</v>
      </c>
    </row>
    <row r="44" spans="2:12" x14ac:dyDescent="0.25">
      <c r="E44" s="1">
        <v>56069</v>
      </c>
      <c r="F44" s="1">
        <v>5</v>
      </c>
      <c r="G44" s="6">
        <v>1</v>
      </c>
      <c r="H44" s="1" t="s">
        <v>95</v>
      </c>
      <c r="I44" s="10">
        <v>0</v>
      </c>
      <c r="J44" s="10">
        <v>2</v>
      </c>
      <c r="K44" s="12">
        <v>43733.75</v>
      </c>
      <c r="L44" s="12">
        <v>43729.375</v>
      </c>
    </row>
    <row r="45" spans="2:12" x14ac:dyDescent="0.25">
      <c r="E45" s="1">
        <v>56070</v>
      </c>
      <c r="F45" s="1">
        <v>5</v>
      </c>
      <c r="G45" s="6">
        <v>1</v>
      </c>
      <c r="H45" s="1" t="s">
        <v>95</v>
      </c>
      <c r="I45" s="10">
        <v>0</v>
      </c>
      <c r="J45" s="10">
        <v>2</v>
      </c>
      <c r="K45" s="12">
        <v>43733.75</v>
      </c>
      <c r="L45" s="12">
        <v>43729.375</v>
      </c>
    </row>
    <row r="46" spans="2:12" x14ac:dyDescent="0.25">
      <c r="E46" s="1">
        <v>56202</v>
      </c>
      <c r="F46" s="1">
        <v>2</v>
      </c>
      <c r="G46" s="1" t="s">
        <v>95</v>
      </c>
      <c r="H46" s="1" t="s">
        <v>95</v>
      </c>
      <c r="I46" s="10">
        <v>1</v>
      </c>
      <c r="J46" s="10">
        <v>3</v>
      </c>
      <c r="K46" s="1" t="s">
        <v>95</v>
      </c>
      <c r="L46" s="1" t="s">
        <v>95</v>
      </c>
    </row>
    <row r="47" spans="2:12" x14ac:dyDescent="0.25">
      <c r="E47" s="1">
        <v>56203</v>
      </c>
      <c r="F47" s="1">
        <v>5</v>
      </c>
      <c r="G47" s="1">
        <v>1</v>
      </c>
      <c r="H47" s="1" t="s">
        <v>95</v>
      </c>
      <c r="I47" s="10">
        <v>1</v>
      </c>
      <c r="J47" s="10">
        <v>4</v>
      </c>
      <c r="K47" s="12">
        <v>43736.541666666664</v>
      </c>
      <c r="L47" s="12">
        <v>43736.201388888891</v>
      </c>
    </row>
    <row r="48" spans="2:12" x14ac:dyDescent="0.25">
      <c r="E48" s="1">
        <v>56073</v>
      </c>
      <c r="F48" s="1">
        <v>2</v>
      </c>
      <c r="G48" s="1" t="s">
        <v>95</v>
      </c>
      <c r="H48" s="1" t="s">
        <v>95</v>
      </c>
      <c r="I48" s="10">
        <v>1</v>
      </c>
      <c r="J48" s="10">
        <v>5</v>
      </c>
      <c r="K48" s="12" t="s">
        <v>95</v>
      </c>
      <c r="L48" s="12" t="s">
        <v>95</v>
      </c>
    </row>
    <row r="49" spans="2:13" x14ac:dyDescent="0.25">
      <c r="E49" s="1">
        <v>56074</v>
      </c>
      <c r="F49" s="1">
        <v>5</v>
      </c>
      <c r="G49" s="6">
        <v>3</v>
      </c>
      <c r="H49" s="6">
        <v>2</v>
      </c>
      <c r="I49" s="10">
        <v>1</v>
      </c>
      <c r="J49" s="10">
        <v>6</v>
      </c>
      <c r="K49" s="12">
        <v>43740.5</v>
      </c>
      <c r="L49" s="12">
        <v>43738.447916666664</v>
      </c>
    </row>
    <row r="50" spans="2:13" x14ac:dyDescent="0.25">
      <c r="E50" s="1">
        <v>56075</v>
      </c>
      <c r="F50" s="1">
        <v>5</v>
      </c>
      <c r="G50" s="6">
        <v>3</v>
      </c>
      <c r="H50" s="6">
        <v>2</v>
      </c>
      <c r="I50" s="10">
        <v>0</v>
      </c>
      <c r="J50" s="10">
        <v>6</v>
      </c>
      <c r="K50" s="12">
        <v>43740.5</v>
      </c>
      <c r="L50" s="12">
        <v>43738.447916666664</v>
      </c>
    </row>
    <row r="51" spans="2:13" x14ac:dyDescent="0.25">
      <c r="E51" s="1">
        <v>56076</v>
      </c>
      <c r="F51" s="1">
        <v>5</v>
      </c>
      <c r="G51" s="6">
        <v>3</v>
      </c>
      <c r="H51" s="6">
        <v>2</v>
      </c>
      <c r="I51" s="10">
        <v>0</v>
      </c>
      <c r="J51" s="10">
        <v>6</v>
      </c>
      <c r="K51" s="12">
        <v>43740.5</v>
      </c>
      <c r="L51" s="12">
        <v>43738.447916666664</v>
      </c>
    </row>
    <row r="52" spans="2:13" x14ac:dyDescent="0.25">
      <c r="E52" s="1">
        <v>56077</v>
      </c>
      <c r="F52" s="1">
        <v>2</v>
      </c>
      <c r="G52" s="1" t="s">
        <v>95</v>
      </c>
      <c r="H52" s="1" t="s">
        <v>95</v>
      </c>
      <c r="I52" s="10">
        <v>1</v>
      </c>
      <c r="J52" s="10">
        <v>7</v>
      </c>
      <c r="K52" s="1" t="s">
        <v>95</v>
      </c>
      <c r="L52" s="1" t="s">
        <v>95</v>
      </c>
    </row>
    <row r="53" spans="2:13" x14ac:dyDescent="0.25">
      <c r="E53" s="1">
        <v>56078</v>
      </c>
      <c r="F53" s="1">
        <v>5</v>
      </c>
      <c r="G53" s="6">
        <v>2</v>
      </c>
      <c r="H53" s="1" t="s">
        <v>95</v>
      </c>
      <c r="I53" s="10">
        <v>1</v>
      </c>
      <c r="J53" s="10">
        <v>8</v>
      </c>
      <c r="K53" s="12">
        <v>43742.791666666664</v>
      </c>
      <c r="L53" s="12">
        <v>43742.375</v>
      </c>
    </row>
    <row r="56" spans="2:13" x14ac:dyDescent="0.25">
      <c r="B56" t="s">
        <v>102</v>
      </c>
    </row>
    <row r="57" spans="2:13" x14ac:dyDescent="0.25">
      <c r="E57" s="2" t="s">
        <v>96</v>
      </c>
      <c r="F57" s="2" t="s">
        <v>97</v>
      </c>
      <c r="G57" s="2" t="s">
        <v>41</v>
      </c>
      <c r="H57" s="2" t="s">
        <v>42</v>
      </c>
      <c r="I57" s="2" t="s">
        <v>30</v>
      </c>
      <c r="J57" s="2" t="s">
        <v>32</v>
      </c>
      <c r="K57" s="2" t="s">
        <v>38</v>
      </c>
      <c r="L57" s="2" t="s">
        <v>37</v>
      </c>
      <c r="M57" s="2" t="s">
        <v>39</v>
      </c>
    </row>
    <row r="58" spans="2:13" x14ac:dyDescent="0.25">
      <c r="E58" s="1">
        <v>56066</v>
      </c>
      <c r="F58" s="1">
        <v>5</v>
      </c>
      <c r="G58" s="10">
        <v>1</v>
      </c>
      <c r="H58" s="1" t="s">
        <v>95</v>
      </c>
      <c r="I58" s="6">
        <v>1</v>
      </c>
      <c r="J58" s="6">
        <v>1</v>
      </c>
      <c r="K58" s="13">
        <v>43726.75</v>
      </c>
      <c r="L58" s="13">
        <v>43725.375</v>
      </c>
    </row>
    <row r="59" spans="2:13" x14ac:dyDescent="0.25">
      <c r="E59" s="1">
        <v>56067</v>
      </c>
      <c r="F59" s="1">
        <v>5</v>
      </c>
      <c r="G59" s="10">
        <v>1</v>
      </c>
      <c r="H59" s="1" t="s">
        <v>95</v>
      </c>
      <c r="I59" s="6">
        <v>1</v>
      </c>
      <c r="J59" s="6">
        <v>2</v>
      </c>
      <c r="K59" s="13">
        <v>43733.75</v>
      </c>
      <c r="L59" s="13">
        <v>43729.375</v>
      </c>
    </row>
    <row r="60" spans="2:13" x14ac:dyDescent="0.25">
      <c r="E60" s="1">
        <v>56068</v>
      </c>
      <c r="F60" s="1">
        <v>5</v>
      </c>
      <c r="G60" s="10">
        <v>1</v>
      </c>
      <c r="H60" s="1" t="s">
        <v>95</v>
      </c>
      <c r="I60" s="6">
        <v>0</v>
      </c>
      <c r="J60" s="6">
        <v>2</v>
      </c>
      <c r="K60" s="13">
        <v>43733.75</v>
      </c>
      <c r="L60" s="13">
        <v>43729.375</v>
      </c>
    </row>
    <row r="61" spans="2:13" x14ac:dyDescent="0.25">
      <c r="E61" s="1">
        <v>56069</v>
      </c>
      <c r="F61" s="1">
        <v>5</v>
      </c>
      <c r="G61" s="10">
        <v>1</v>
      </c>
      <c r="H61" s="1" t="s">
        <v>95</v>
      </c>
      <c r="I61" s="6">
        <v>0</v>
      </c>
      <c r="J61" s="6">
        <v>2</v>
      </c>
      <c r="K61" s="13">
        <v>43733.75</v>
      </c>
      <c r="L61" s="13">
        <v>43729.375</v>
      </c>
    </row>
    <row r="62" spans="2:13" x14ac:dyDescent="0.25">
      <c r="E62" s="1">
        <v>56070</v>
      </c>
      <c r="F62" s="1">
        <v>5</v>
      </c>
      <c r="G62" s="10">
        <v>1</v>
      </c>
      <c r="H62" s="1" t="s">
        <v>95</v>
      </c>
      <c r="I62" s="6">
        <v>0</v>
      </c>
      <c r="J62" s="6">
        <v>2</v>
      </c>
      <c r="K62" s="13">
        <v>43733.75</v>
      </c>
      <c r="L62" s="13">
        <v>43729.375</v>
      </c>
    </row>
    <row r="63" spans="2:13" x14ac:dyDescent="0.25">
      <c r="E63" s="1">
        <v>56202</v>
      </c>
      <c r="F63" s="1">
        <v>2</v>
      </c>
      <c r="G63" s="1" t="s">
        <v>95</v>
      </c>
      <c r="H63" s="1" t="s">
        <v>95</v>
      </c>
      <c r="I63" s="6">
        <v>1</v>
      </c>
      <c r="J63" s="6">
        <v>3</v>
      </c>
      <c r="K63" s="6" t="s">
        <v>95</v>
      </c>
      <c r="L63" s="6" t="s">
        <v>95</v>
      </c>
    </row>
    <row r="64" spans="2:13" x14ac:dyDescent="0.25">
      <c r="E64" s="1">
        <v>56203</v>
      </c>
      <c r="F64" s="1">
        <v>5</v>
      </c>
      <c r="G64" s="1">
        <v>1</v>
      </c>
      <c r="H64" s="1" t="s">
        <v>95</v>
      </c>
      <c r="I64" s="6">
        <v>1</v>
      </c>
      <c r="J64" s="6">
        <v>4</v>
      </c>
      <c r="K64" s="13">
        <v>43736.541666666664</v>
      </c>
      <c r="L64" s="13">
        <v>43736.201388888891</v>
      </c>
    </row>
    <row r="65" spans="1:12" x14ac:dyDescent="0.25">
      <c r="E65" s="1">
        <v>56073</v>
      </c>
      <c r="F65" s="1">
        <v>2</v>
      </c>
      <c r="G65" s="1" t="s">
        <v>95</v>
      </c>
      <c r="H65" s="1" t="s">
        <v>95</v>
      </c>
      <c r="I65" s="6">
        <v>1</v>
      </c>
      <c r="J65" s="6">
        <v>5</v>
      </c>
      <c r="K65" s="13" t="s">
        <v>95</v>
      </c>
      <c r="L65" s="13" t="s">
        <v>95</v>
      </c>
    </row>
    <row r="66" spans="1:12" x14ac:dyDescent="0.25">
      <c r="E66" s="1">
        <v>56074</v>
      </c>
      <c r="F66" s="1">
        <v>5</v>
      </c>
      <c r="G66" s="10">
        <v>3</v>
      </c>
      <c r="H66" s="10">
        <v>2</v>
      </c>
      <c r="I66" s="6">
        <v>1</v>
      </c>
      <c r="J66" s="6">
        <v>6</v>
      </c>
      <c r="K66" s="13">
        <v>43740.5</v>
      </c>
      <c r="L66" s="13">
        <v>43738.447916666664</v>
      </c>
    </row>
    <row r="67" spans="1:12" x14ac:dyDescent="0.25">
      <c r="E67" s="1">
        <v>56075</v>
      </c>
      <c r="F67" s="1">
        <v>5</v>
      </c>
      <c r="G67" s="10">
        <v>3</v>
      </c>
      <c r="H67" s="10">
        <v>2</v>
      </c>
      <c r="I67" s="6">
        <v>0</v>
      </c>
      <c r="J67" s="6">
        <v>6</v>
      </c>
      <c r="K67" s="13">
        <v>43740.5</v>
      </c>
      <c r="L67" s="13">
        <v>43738.447916666664</v>
      </c>
    </row>
    <row r="68" spans="1:12" x14ac:dyDescent="0.25">
      <c r="E68" s="1">
        <v>56076</v>
      </c>
      <c r="F68" s="1">
        <v>5</v>
      </c>
      <c r="G68" s="10">
        <v>3</v>
      </c>
      <c r="H68" s="10">
        <v>2</v>
      </c>
      <c r="I68" s="6">
        <v>0</v>
      </c>
      <c r="J68" s="6">
        <v>6</v>
      </c>
      <c r="K68" s="13">
        <v>43740.5</v>
      </c>
      <c r="L68" s="13">
        <v>43738.447916666664</v>
      </c>
    </row>
    <row r="69" spans="1:12" x14ac:dyDescent="0.25">
      <c r="E69" s="1">
        <v>56077</v>
      </c>
      <c r="F69" s="1">
        <v>2</v>
      </c>
      <c r="G69" s="10" t="s">
        <v>95</v>
      </c>
      <c r="H69" s="10" t="s">
        <v>95</v>
      </c>
      <c r="I69" s="6">
        <v>1</v>
      </c>
      <c r="J69" s="6">
        <v>7</v>
      </c>
      <c r="K69" s="6" t="s">
        <v>95</v>
      </c>
      <c r="L69" s="6" t="s">
        <v>95</v>
      </c>
    </row>
    <row r="70" spans="1:12" x14ac:dyDescent="0.25">
      <c r="E70" s="1">
        <v>56078</v>
      </c>
      <c r="F70" s="1">
        <v>5</v>
      </c>
      <c r="G70" s="10">
        <v>2</v>
      </c>
      <c r="H70" s="10" t="s">
        <v>95</v>
      </c>
      <c r="I70" s="6">
        <v>1</v>
      </c>
      <c r="J70" s="6">
        <v>8</v>
      </c>
      <c r="K70" s="13">
        <v>43742.791666666664</v>
      </c>
      <c r="L70" s="13">
        <v>43742.375</v>
      </c>
    </row>
    <row r="74" spans="1:12" x14ac:dyDescent="0.25">
      <c r="A74" t="s">
        <v>99</v>
      </c>
    </row>
    <row r="75" spans="1:12" x14ac:dyDescent="0.25">
      <c r="A75" t="s">
        <v>100</v>
      </c>
    </row>
    <row r="76" spans="1:12" x14ac:dyDescent="0.25">
      <c r="A76" t="s">
        <v>101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E7A3-2A98-48F2-A321-7E35C3879789}">
  <dimension ref="A1:J33"/>
  <sheetViews>
    <sheetView workbookViewId="0">
      <selection activeCell="G17" sqref="G17"/>
    </sheetView>
  </sheetViews>
  <sheetFormatPr defaultRowHeight="15" x14ac:dyDescent="0.25"/>
  <cols>
    <col min="1" max="1" width="21.5703125" customWidth="1"/>
    <col min="5" max="5" width="12.42578125" bestFit="1" customWidth="1"/>
    <col min="6" max="6" width="10.7109375" bestFit="1" customWidth="1"/>
  </cols>
  <sheetData>
    <row r="1" spans="1:10" x14ac:dyDescent="0.25">
      <c r="A1" s="3" t="s">
        <v>1</v>
      </c>
      <c r="B1" t="s">
        <v>103</v>
      </c>
      <c r="F1" t="s">
        <v>132</v>
      </c>
    </row>
    <row r="4" spans="1:10" x14ac:dyDescent="0.25">
      <c r="A4" s="18" t="s">
        <v>104</v>
      </c>
      <c r="E4" s="15" t="s">
        <v>109</v>
      </c>
    </row>
    <row r="5" spans="1:10" x14ac:dyDescent="0.25">
      <c r="E5" s="16"/>
      <c r="F5" s="14" t="s">
        <v>107</v>
      </c>
    </row>
    <row r="6" spans="1:10" x14ac:dyDescent="0.25">
      <c r="E6" s="16"/>
      <c r="F6" s="14" t="s">
        <v>108</v>
      </c>
    </row>
    <row r="7" spans="1:10" x14ac:dyDescent="0.25">
      <c r="E7" s="15" t="s">
        <v>110</v>
      </c>
      <c r="F7" s="5"/>
    </row>
    <row r="8" spans="1:10" x14ac:dyDescent="0.25">
      <c r="E8" s="1"/>
      <c r="F8" s="17" t="s">
        <v>111</v>
      </c>
    </row>
    <row r="9" spans="1:10" x14ac:dyDescent="0.25">
      <c r="E9" s="1"/>
      <c r="F9" s="5"/>
    </row>
    <row r="10" spans="1:10" x14ac:dyDescent="0.25">
      <c r="E10" s="2" t="s">
        <v>105</v>
      </c>
      <c r="F10" s="2" t="s">
        <v>106</v>
      </c>
    </row>
    <row r="13" spans="1:10" x14ac:dyDescent="0.25">
      <c r="A13" s="18" t="s">
        <v>112</v>
      </c>
      <c r="E13" s="3" t="s">
        <v>113</v>
      </c>
    </row>
    <row r="14" spans="1:10" x14ac:dyDescent="0.25">
      <c r="F14" t="s">
        <v>114</v>
      </c>
    </row>
    <row r="15" spans="1:10" x14ac:dyDescent="0.25">
      <c r="F15" t="s">
        <v>115</v>
      </c>
    </row>
    <row r="16" spans="1:10" x14ac:dyDescent="0.25">
      <c r="F16" t="s">
        <v>116</v>
      </c>
      <c r="H16" s="3" t="s">
        <v>117</v>
      </c>
      <c r="J16" s="3" t="s">
        <v>118</v>
      </c>
    </row>
    <row r="17" spans="1:10" x14ac:dyDescent="0.25">
      <c r="H17" t="s">
        <v>119</v>
      </c>
      <c r="J17" t="s">
        <v>106</v>
      </c>
    </row>
    <row r="18" spans="1:10" x14ac:dyDescent="0.25">
      <c r="H18" t="s">
        <v>120</v>
      </c>
    </row>
    <row r="19" spans="1:10" x14ac:dyDescent="0.25">
      <c r="H19" t="s">
        <v>121</v>
      </c>
    </row>
    <row r="22" spans="1:10" x14ac:dyDescent="0.25">
      <c r="A22" s="18" t="s">
        <v>122</v>
      </c>
      <c r="E22" s="3" t="s">
        <v>123</v>
      </c>
    </row>
    <row r="23" spans="1:10" x14ac:dyDescent="0.25">
      <c r="F23" t="s">
        <v>124</v>
      </c>
    </row>
    <row r="24" spans="1:10" x14ac:dyDescent="0.25">
      <c r="F24" t="s">
        <v>125</v>
      </c>
    </row>
    <row r="27" spans="1:10" x14ac:dyDescent="0.25">
      <c r="A27" s="18" t="s">
        <v>126</v>
      </c>
      <c r="E27" s="3" t="s">
        <v>123</v>
      </c>
    </row>
    <row r="28" spans="1:10" x14ac:dyDescent="0.25">
      <c r="F28" t="s">
        <v>127</v>
      </c>
    </row>
    <row r="29" spans="1:10" x14ac:dyDescent="0.25">
      <c r="F29" t="s">
        <v>128</v>
      </c>
    </row>
    <row r="30" spans="1:10" x14ac:dyDescent="0.25">
      <c r="E30" s="15" t="s">
        <v>110</v>
      </c>
    </row>
    <row r="31" spans="1:10" x14ac:dyDescent="0.25">
      <c r="F31" t="s">
        <v>129</v>
      </c>
    </row>
    <row r="32" spans="1:10" x14ac:dyDescent="0.25">
      <c r="E32" s="15" t="s">
        <v>130</v>
      </c>
    </row>
    <row r="33" spans="6:6" x14ac:dyDescent="0.25">
      <c r="F33" t="s">
        <v>131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AC02-1460-4A5E-9426-7F97CAF738A4}">
  <dimension ref="A1:K10"/>
  <sheetViews>
    <sheetView workbookViewId="0">
      <selection activeCell="D13" sqref="D13"/>
    </sheetView>
  </sheetViews>
  <sheetFormatPr defaultRowHeight="15" x14ac:dyDescent="0.25"/>
  <cols>
    <col min="1" max="1" width="21.5703125" customWidth="1"/>
    <col min="2" max="2" width="11.7109375" customWidth="1"/>
    <col min="3" max="3" width="9.140625" style="1"/>
    <col min="4" max="4" width="12.7109375" customWidth="1"/>
    <col min="5" max="5" width="19.85546875" customWidth="1"/>
    <col min="6" max="6" width="12.42578125" bestFit="1" customWidth="1"/>
    <col min="7" max="7" width="18.140625" customWidth="1"/>
    <col min="8" max="8" width="15.5703125" customWidth="1"/>
    <col min="9" max="9" width="10.28515625" style="1" customWidth="1"/>
  </cols>
  <sheetData>
    <row r="1" spans="1:11" x14ac:dyDescent="0.25">
      <c r="A1" s="3" t="s">
        <v>1</v>
      </c>
      <c r="B1" t="s">
        <v>133</v>
      </c>
      <c r="G1" t="s">
        <v>134</v>
      </c>
    </row>
    <row r="3" spans="1:11" x14ac:dyDescent="0.25">
      <c r="B3" t="s">
        <v>135</v>
      </c>
    </row>
    <row r="5" spans="1:11" x14ac:dyDescent="0.25">
      <c r="B5" t="s">
        <v>144</v>
      </c>
    </row>
    <row r="7" spans="1:11" x14ac:dyDescent="0.25">
      <c r="B7" s="3" t="s">
        <v>136</v>
      </c>
      <c r="C7" s="2" t="s">
        <v>143</v>
      </c>
      <c r="D7" s="3" t="s">
        <v>137</v>
      </c>
      <c r="E7" s="3" t="s">
        <v>138</v>
      </c>
      <c r="F7" s="3" t="s">
        <v>139</v>
      </c>
      <c r="G7" s="3" t="s">
        <v>140</v>
      </c>
      <c r="H7" s="3" t="s">
        <v>141</v>
      </c>
      <c r="I7" s="2" t="s">
        <v>142</v>
      </c>
    </row>
    <row r="8" spans="1:11" x14ac:dyDescent="0.25">
      <c r="B8" s="19"/>
      <c r="C8" s="20">
        <v>500</v>
      </c>
      <c r="D8" s="19"/>
      <c r="E8" s="19"/>
      <c r="F8" s="19"/>
      <c r="G8" s="19"/>
      <c r="H8" s="19"/>
      <c r="I8" s="20">
        <v>0</v>
      </c>
      <c r="K8" t="s">
        <v>145</v>
      </c>
    </row>
    <row r="9" spans="1:11" x14ac:dyDescent="0.25">
      <c r="B9" s="21"/>
      <c r="C9" s="22">
        <v>600</v>
      </c>
      <c r="D9" s="21"/>
      <c r="E9" s="21" t="s">
        <v>146</v>
      </c>
      <c r="F9" s="21"/>
      <c r="G9" s="21"/>
      <c r="H9" s="21"/>
      <c r="I9" s="22">
        <v>1</v>
      </c>
      <c r="K9" t="s">
        <v>147</v>
      </c>
    </row>
    <row r="10" spans="1:11" x14ac:dyDescent="0.25">
      <c r="B10" s="21"/>
      <c r="C10" s="22"/>
      <c r="D10" s="21"/>
      <c r="E10" s="21"/>
      <c r="F10" s="21"/>
      <c r="G10" s="21"/>
      <c r="H10" s="21"/>
      <c r="I10" s="22">
        <v>2</v>
      </c>
      <c r="K10" t="s">
        <v>148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A2E6-E20E-4673-BBB4-FE6DE7644808}">
  <dimension ref="A1:H58"/>
  <sheetViews>
    <sheetView topLeftCell="A45" workbookViewId="0">
      <selection activeCell="D61" sqref="D61"/>
    </sheetView>
  </sheetViews>
  <sheetFormatPr defaultRowHeight="15" x14ac:dyDescent="0.25"/>
  <cols>
    <col min="1" max="1" width="13.7109375" bestFit="1" customWidth="1"/>
    <col min="2" max="2" width="20.5703125" bestFit="1" customWidth="1"/>
    <col min="4" max="4" width="10.7109375" bestFit="1" customWidth="1"/>
    <col min="7" max="7" width="10.7109375" bestFit="1" customWidth="1"/>
  </cols>
  <sheetData>
    <row r="1" spans="1:8" x14ac:dyDescent="0.25">
      <c r="A1" s="3" t="s">
        <v>149</v>
      </c>
    </row>
    <row r="2" spans="1:8" x14ac:dyDescent="0.25">
      <c r="B2" s="24" t="s">
        <v>150</v>
      </c>
    </row>
    <row r="3" spans="1:8" x14ac:dyDescent="0.25">
      <c r="B3" t="s">
        <v>151</v>
      </c>
      <c r="D3" t="s">
        <v>185</v>
      </c>
    </row>
    <row r="4" spans="1:8" x14ac:dyDescent="0.25">
      <c r="B4" t="s">
        <v>152</v>
      </c>
      <c r="D4" s="23">
        <v>44666</v>
      </c>
      <c r="E4">
        <v>2023</v>
      </c>
      <c r="G4" s="23">
        <v>44941</v>
      </c>
      <c r="H4">
        <v>2023</v>
      </c>
    </row>
    <row r="5" spans="1:8" x14ac:dyDescent="0.25">
      <c r="B5" t="s">
        <v>153</v>
      </c>
      <c r="D5" t="s">
        <v>182</v>
      </c>
    </row>
    <row r="6" spans="1:8" x14ac:dyDescent="0.25">
      <c r="B6" t="s">
        <v>156</v>
      </c>
    </row>
    <row r="7" spans="1:8" x14ac:dyDescent="0.25">
      <c r="B7" s="24" t="s">
        <v>157</v>
      </c>
      <c r="D7" t="s">
        <v>183</v>
      </c>
    </row>
    <row r="8" spans="1:8" x14ac:dyDescent="0.25">
      <c r="B8" s="24" t="s">
        <v>158</v>
      </c>
      <c r="D8" s="1">
        <v>1</v>
      </c>
    </row>
    <row r="9" spans="1:8" x14ac:dyDescent="0.25">
      <c r="B9" t="s">
        <v>162</v>
      </c>
      <c r="D9" s="1">
        <v>2</v>
      </c>
    </row>
    <row r="10" spans="1:8" x14ac:dyDescent="0.25">
      <c r="B10" s="25" t="s">
        <v>159</v>
      </c>
      <c r="D10" t="s">
        <v>184</v>
      </c>
    </row>
    <row r="11" spans="1:8" x14ac:dyDescent="0.25">
      <c r="B11" s="24" t="s">
        <v>160</v>
      </c>
      <c r="D11" t="s">
        <v>186</v>
      </c>
    </row>
    <row r="12" spans="1:8" x14ac:dyDescent="0.25">
      <c r="B12" t="s">
        <v>161</v>
      </c>
    </row>
    <row r="13" spans="1:8" x14ac:dyDescent="0.25">
      <c r="B13" s="25" t="s">
        <v>163</v>
      </c>
    </row>
    <row r="14" spans="1:8" x14ac:dyDescent="0.25">
      <c r="B14" t="s">
        <v>105</v>
      </c>
      <c r="D14" t="s">
        <v>187</v>
      </c>
    </row>
    <row r="15" spans="1:8" x14ac:dyDescent="0.25">
      <c r="B15" t="s">
        <v>108</v>
      </c>
      <c r="D15" t="s">
        <v>187</v>
      </c>
    </row>
    <row r="16" spans="1:8" x14ac:dyDescent="0.25">
      <c r="B16" s="25" t="s">
        <v>164</v>
      </c>
      <c r="D16" t="s">
        <v>188</v>
      </c>
    </row>
    <row r="17" spans="2:4" x14ac:dyDescent="0.25">
      <c r="B17" t="s">
        <v>165</v>
      </c>
    </row>
    <row r="18" spans="2:4" x14ac:dyDescent="0.25">
      <c r="B18" t="s">
        <v>166</v>
      </c>
    </row>
    <row r="19" spans="2:4" x14ac:dyDescent="0.25">
      <c r="B19" t="s">
        <v>167</v>
      </c>
    </row>
    <row r="20" spans="2:4" x14ac:dyDescent="0.25">
      <c r="B20" t="s">
        <v>168</v>
      </c>
      <c r="D20" t="s">
        <v>189</v>
      </c>
    </row>
    <row r="21" spans="2:4" x14ac:dyDescent="0.25">
      <c r="B21" t="s">
        <v>169</v>
      </c>
      <c r="D21" t="s">
        <v>190</v>
      </c>
    </row>
    <row r="22" spans="2:4" x14ac:dyDescent="0.25">
      <c r="B22" t="s">
        <v>170</v>
      </c>
      <c r="D22" t="s">
        <v>191</v>
      </c>
    </row>
    <row r="23" spans="2:4" x14ac:dyDescent="0.25">
      <c r="B23" t="s">
        <v>171</v>
      </c>
      <c r="D23" t="s">
        <v>192</v>
      </c>
    </row>
    <row r="24" spans="2:4" x14ac:dyDescent="0.25">
      <c r="B24" t="s">
        <v>172</v>
      </c>
      <c r="D24" t="s">
        <v>193</v>
      </c>
    </row>
    <row r="25" spans="2:4" x14ac:dyDescent="0.25">
      <c r="B25" t="s">
        <v>173</v>
      </c>
    </row>
    <row r="26" spans="2:4" x14ac:dyDescent="0.25">
      <c r="B26" t="s">
        <v>174</v>
      </c>
    </row>
    <row r="27" spans="2:4" x14ac:dyDescent="0.25">
      <c r="B27" t="s">
        <v>175</v>
      </c>
    </row>
    <row r="28" spans="2:4" x14ac:dyDescent="0.25">
      <c r="B28" t="s">
        <v>176</v>
      </c>
      <c r="D28" t="s">
        <v>194</v>
      </c>
    </row>
    <row r="29" spans="2:4" x14ac:dyDescent="0.25">
      <c r="B29" t="s">
        <v>177</v>
      </c>
      <c r="D29" t="s">
        <v>194</v>
      </c>
    </row>
    <row r="30" spans="2:4" x14ac:dyDescent="0.25">
      <c r="B30" t="s">
        <v>178</v>
      </c>
      <c r="D30" t="s">
        <v>194</v>
      </c>
    </row>
    <row r="31" spans="2:4" x14ac:dyDescent="0.25">
      <c r="B31" t="s">
        <v>179</v>
      </c>
      <c r="D31" t="s">
        <v>195</v>
      </c>
    </row>
    <row r="32" spans="2:4" x14ac:dyDescent="0.25">
      <c r="B32" t="s">
        <v>180</v>
      </c>
      <c r="D32" t="s">
        <v>195</v>
      </c>
    </row>
    <row r="33" spans="1:5" x14ac:dyDescent="0.25">
      <c r="B33" t="s">
        <v>181</v>
      </c>
      <c r="D33" t="s">
        <v>195</v>
      </c>
    </row>
    <row r="36" spans="1:5" x14ac:dyDescent="0.25">
      <c r="A36" s="3" t="s">
        <v>196</v>
      </c>
    </row>
    <row r="37" spans="1:5" x14ac:dyDescent="0.25">
      <c r="B37" s="24" t="s">
        <v>207</v>
      </c>
      <c r="C37" t="s">
        <v>197</v>
      </c>
    </row>
    <row r="38" spans="1:5" x14ac:dyDescent="0.25">
      <c r="B38" s="24" t="s">
        <v>150</v>
      </c>
      <c r="C38" t="s">
        <v>197</v>
      </c>
    </row>
    <row r="39" spans="1:5" x14ac:dyDescent="0.25">
      <c r="B39" t="s">
        <v>198</v>
      </c>
      <c r="C39" t="s">
        <v>199</v>
      </c>
    </row>
    <row r="40" spans="1:5" x14ac:dyDescent="0.25">
      <c r="B40" s="25" t="s">
        <v>200</v>
      </c>
      <c r="C40" t="s">
        <v>201</v>
      </c>
      <c r="E40" t="s">
        <v>224</v>
      </c>
    </row>
    <row r="41" spans="1:5" x14ac:dyDescent="0.25">
      <c r="B41" s="25" t="s">
        <v>202</v>
      </c>
      <c r="C41" t="s">
        <v>197</v>
      </c>
    </row>
    <row r="42" spans="1:5" x14ac:dyDescent="0.25">
      <c r="B42" s="25" t="s">
        <v>203</v>
      </c>
      <c r="C42" t="s">
        <v>201</v>
      </c>
      <c r="E42" t="s">
        <v>222</v>
      </c>
    </row>
    <row r="43" spans="1:5" x14ac:dyDescent="0.25">
      <c r="B43" t="s">
        <v>154</v>
      </c>
      <c r="C43" t="s">
        <v>199</v>
      </c>
    </row>
    <row r="44" spans="1:5" x14ac:dyDescent="0.25">
      <c r="B44" t="s">
        <v>155</v>
      </c>
      <c r="C44" t="s">
        <v>204</v>
      </c>
    </row>
    <row r="45" spans="1:5" x14ac:dyDescent="0.25">
      <c r="B45" t="s">
        <v>205</v>
      </c>
      <c r="C45" t="s">
        <v>197</v>
      </c>
      <c r="E45" t="s">
        <v>219</v>
      </c>
    </row>
    <row r="46" spans="1:5" x14ac:dyDescent="0.25">
      <c r="B46" t="s">
        <v>206</v>
      </c>
      <c r="C46" t="s">
        <v>199</v>
      </c>
    </row>
    <row r="47" spans="1:5" x14ac:dyDescent="0.25">
      <c r="B47" s="25" t="s">
        <v>208</v>
      </c>
      <c r="C47" t="s">
        <v>201</v>
      </c>
      <c r="E47" t="s">
        <v>221</v>
      </c>
    </row>
    <row r="48" spans="1:5" x14ac:dyDescent="0.25">
      <c r="B48" t="s">
        <v>209</v>
      </c>
      <c r="C48" t="s">
        <v>204</v>
      </c>
    </row>
    <row r="49" spans="2:5" x14ac:dyDescent="0.25">
      <c r="B49" t="s">
        <v>210</v>
      </c>
      <c r="C49" t="s">
        <v>201</v>
      </c>
    </row>
    <row r="50" spans="2:5" x14ac:dyDescent="0.25">
      <c r="B50" t="s">
        <v>211</v>
      </c>
      <c r="C50" t="s">
        <v>197</v>
      </c>
    </row>
    <row r="51" spans="2:5" x14ac:dyDescent="0.25">
      <c r="B51" s="25" t="s">
        <v>212</v>
      </c>
      <c r="C51" t="s">
        <v>201</v>
      </c>
      <c r="E51" t="s">
        <v>220</v>
      </c>
    </row>
    <row r="52" spans="2:5" x14ac:dyDescent="0.25">
      <c r="B52" s="25" t="s">
        <v>141</v>
      </c>
      <c r="C52" t="s">
        <v>201</v>
      </c>
      <c r="E52" t="s">
        <v>223</v>
      </c>
    </row>
    <row r="53" spans="2:5" x14ac:dyDescent="0.25">
      <c r="B53" t="s">
        <v>63</v>
      </c>
      <c r="C53" t="s">
        <v>204</v>
      </c>
    </row>
    <row r="54" spans="2:5" x14ac:dyDescent="0.25">
      <c r="B54" s="25" t="s">
        <v>213</v>
      </c>
      <c r="C54" t="s">
        <v>201</v>
      </c>
      <c r="E54" t="s">
        <v>225</v>
      </c>
    </row>
    <row r="55" spans="2:5" x14ac:dyDescent="0.25">
      <c r="B55" t="s">
        <v>214</v>
      </c>
      <c r="C55" t="s">
        <v>199</v>
      </c>
    </row>
    <row r="56" spans="2:5" x14ac:dyDescent="0.25">
      <c r="B56" t="s">
        <v>215</v>
      </c>
      <c r="C56" t="s">
        <v>199</v>
      </c>
    </row>
    <row r="57" spans="2:5" x14ac:dyDescent="0.25">
      <c r="B57" t="s">
        <v>216</v>
      </c>
      <c r="C57" t="s">
        <v>217</v>
      </c>
    </row>
    <row r="58" spans="2:5" x14ac:dyDescent="0.25">
      <c r="B58" t="s">
        <v>218</v>
      </c>
      <c r="C58" t="s">
        <v>197</v>
      </c>
      <c r="E58" t="s">
        <v>226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E8A7-A0A7-478E-8F15-90C0BD023DF7}">
  <dimension ref="A1:O64"/>
  <sheetViews>
    <sheetView workbookViewId="0">
      <selection activeCell="A3" sqref="A3:XFD14"/>
    </sheetView>
  </sheetViews>
  <sheetFormatPr defaultRowHeight="15" x14ac:dyDescent="0.25"/>
  <cols>
    <col min="2" max="2" width="16.42578125" style="1" bestFit="1" customWidth="1"/>
    <col min="3" max="3" width="11" style="1" bestFit="1" customWidth="1"/>
    <col min="4" max="4" width="11.5703125" style="1" bestFit="1" customWidth="1"/>
    <col min="5" max="5" width="19.28515625" style="26" bestFit="1" customWidth="1"/>
    <col min="6" max="6" width="11.5703125" style="26" customWidth="1"/>
    <col min="7" max="7" width="17.7109375" style="26" bestFit="1" customWidth="1"/>
    <col min="8" max="8" width="14" style="1" bestFit="1" customWidth="1"/>
    <col min="9" max="9" width="16.5703125" style="26" bestFit="1" customWidth="1"/>
    <col min="10" max="10" width="12.28515625" style="26" bestFit="1" customWidth="1"/>
    <col min="11" max="11" width="17.85546875" style="26" bestFit="1" customWidth="1"/>
    <col min="12" max="14" width="9.140625" style="26"/>
    <col min="15" max="15" width="13.85546875" bestFit="1" customWidth="1"/>
  </cols>
  <sheetData>
    <row r="1" spans="1:15" x14ac:dyDescent="0.25">
      <c r="A1" s="35" t="s">
        <v>246</v>
      </c>
      <c r="B1" s="36"/>
      <c r="C1" s="36"/>
    </row>
    <row r="3" spans="1:15" x14ac:dyDescent="0.25">
      <c r="A3" s="3" t="s">
        <v>254</v>
      </c>
    </row>
    <row r="4" spans="1:15" x14ac:dyDescent="0.25">
      <c r="B4" s="16" t="s">
        <v>255</v>
      </c>
    </row>
    <row r="5" spans="1:15" x14ac:dyDescent="0.25">
      <c r="B5" s="16" t="s">
        <v>256</v>
      </c>
    </row>
    <row r="6" spans="1:15" x14ac:dyDescent="0.25">
      <c r="B6" s="15" t="s">
        <v>257</v>
      </c>
    </row>
    <row r="7" spans="1:15" x14ac:dyDescent="0.25">
      <c r="B7" s="16" t="s">
        <v>258</v>
      </c>
    </row>
    <row r="8" spans="1:15" x14ac:dyDescent="0.25">
      <c r="B8" s="16"/>
      <c r="C8" s="16" t="s">
        <v>259</v>
      </c>
    </row>
    <row r="9" spans="1:15" x14ac:dyDescent="0.25">
      <c r="B9" s="16"/>
      <c r="D9" s="16" t="s">
        <v>260</v>
      </c>
      <c r="E9" s="16" t="s">
        <v>263</v>
      </c>
    </row>
    <row r="10" spans="1:15" x14ac:dyDescent="0.25">
      <c r="B10" s="16"/>
      <c r="D10" s="16" t="s">
        <v>261</v>
      </c>
      <c r="E10" s="16" t="s">
        <v>262</v>
      </c>
    </row>
    <row r="11" spans="1:15" x14ac:dyDescent="0.25">
      <c r="B11" s="16"/>
      <c r="D11" s="16" t="s">
        <v>264</v>
      </c>
      <c r="E11" s="16" t="s">
        <v>265</v>
      </c>
    </row>
    <row r="12" spans="1:15" x14ac:dyDescent="0.25">
      <c r="B12" s="16" t="s">
        <v>275</v>
      </c>
    </row>
    <row r="14" spans="1:15" x14ac:dyDescent="0.25">
      <c r="A14" s="3" t="s">
        <v>227</v>
      </c>
    </row>
    <row r="15" spans="1:15" x14ac:dyDescent="0.25">
      <c r="A15" s="3"/>
      <c r="E15" s="32" t="s">
        <v>239</v>
      </c>
      <c r="F15" s="32" t="s">
        <v>239</v>
      </c>
      <c r="L15" s="32" t="s">
        <v>240</v>
      </c>
      <c r="M15" s="32" t="s">
        <v>240</v>
      </c>
      <c r="N15" s="32" t="s">
        <v>240</v>
      </c>
    </row>
    <row r="16" spans="1:15" x14ac:dyDescent="0.25">
      <c r="B16" s="28" t="s">
        <v>136</v>
      </c>
      <c r="C16" s="28" t="s">
        <v>127</v>
      </c>
      <c r="D16" s="28" t="s">
        <v>128</v>
      </c>
      <c r="E16" s="29" t="s">
        <v>164</v>
      </c>
      <c r="F16" s="29" t="s">
        <v>159</v>
      </c>
      <c r="G16" s="29" t="s">
        <v>163</v>
      </c>
      <c r="H16" s="28" t="s">
        <v>169</v>
      </c>
      <c r="I16" s="29" t="s">
        <v>228</v>
      </c>
      <c r="J16" s="29" t="s">
        <v>229</v>
      </c>
      <c r="K16" s="29" t="s">
        <v>230</v>
      </c>
      <c r="L16" s="29" t="s">
        <v>231</v>
      </c>
      <c r="M16" s="29" t="s">
        <v>232</v>
      </c>
      <c r="N16" s="29" t="s">
        <v>233</v>
      </c>
      <c r="O16" s="33" t="s">
        <v>243</v>
      </c>
    </row>
    <row r="17" spans="1:15" x14ac:dyDescent="0.25">
      <c r="B17" s="1">
        <v>9285</v>
      </c>
      <c r="C17" s="1">
        <v>15</v>
      </c>
      <c r="D17" s="5">
        <v>44760</v>
      </c>
      <c r="E17" s="30">
        <f>J30</f>
        <v>880</v>
      </c>
      <c r="F17" s="30">
        <f>J29</f>
        <v>41.91</v>
      </c>
      <c r="G17" s="26">
        <v>88.001000000000005</v>
      </c>
      <c r="H17" s="1" t="s">
        <v>234</v>
      </c>
      <c r="I17" s="26">
        <v>5</v>
      </c>
      <c r="J17" s="26">
        <v>0</v>
      </c>
      <c r="K17" s="26">
        <v>0</v>
      </c>
      <c r="L17" s="30">
        <f>H35</f>
        <v>3688.1219099999998</v>
      </c>
      <c r="M17" s="30">
        <f>H36</f>
        <v>0</v>
      </c>
      <c r="N17" s="30">
        <f>H37</f>
        <v>0</v>
      </c>
      <c r="O17" s="26">
        <v>5</v>
      </c>
    </row>
    <row r="19" spans="1:15" x14ac:dyDescent="0.25">
      <c r="A19" s="3" t="s">
        <v>235</v>
      </c>
    </row>
    <row r="20" spans="1:15" x14ac:dyDescent="0.25">
      <c r="A20" s="3"/>
      <c r="D20" s="32" t="s">
        <v>239</v>
      </c>
      <c r="F20" s="32" t="s">
        <v>239</v>
      </c>
      <c r="H20" s="32" t="s">
        <v>239</v>
      </c>
      <c r="I20" s="32" t="s">
        <v>239</v>
      </c>
      <c r="J20" s="32" t="s">
        <v>239</v>
      </c>
    </row>
    <row r="21" spans="1:15" x14ac:dyDescent="0.25">
      <c r="B21" s="28" t="s">
        <v>236</v>
      </c>
      <c r="C21" s="28" t="s">
        <v>136</v>
      </c>
      <c r="D21" s="29" t="s">
        <v>200</v>
      </c>
      <c r="E21" s="29" t="s">
        <v>237</v>
      </c>
      <c r="F21" s="29" t="s">
        <v>203</v>
      </c>
      <c r="G21" s="29" t="s">
        <v>208</v>
      </c>
      <c r="H21" s="29" t="s">
        <v>238</v>
      </c>
      <c r="I21" s="29" t="s">
        <v>213</v>
      </c>
      <c r="J21" s="29" t="s">
        <v>141</v>
      </c>
      <c r="K21" s="28" t="s">
        <v>215</v>
      </c>
    </row>
    <row r="22" spans="1:15" x14ac:dyDescent="0.25">
      <c r="B22" s="1">
        <v>159103</v>
      </c>
      <c r="C22" s="1">
        <v>9285</v>
      </c>
      <c r="D22" s="26">
        <v>55.24</v>
      </c>
      <c r="E22" s="26">
        <v>2</v>
      </c>
      <c r="F22" s="30">
        <f>D22*E22</f>
        <v>110.48</v>
      </c>
      <c r="G22" s="26">
        <f>I17</f>
        <v>5</v>
      </c>
      <c r="H22" s="30">
        <f>ROUND((G22*F22/100),2)</f>
        <v>5.52</v>
      </c>
      <c r="I22" s="30">
        <f>(1+G22/100)*D22</f>
        <v>58.002000000000002</v>
      </c>
      <c r="J22" s="30">
        <f>ROUND(E22*I22,2)</f>
        <v>116</v>
      </c>
      <c r="K22" s="26" t="str">
        <f>H17</f>
        <v>Rajasthan</v>
      </c>
    </row>
    <row r="23" spans="1:15" x14ac:dyDescent="0.25">
      <c r="B23" s="1">
        <v>159104</v>
      </c>
      <c r="C23" s="1">
        <v>9285</v>
      </c>
      <c r="D23" s="26">
        <v>41.9</v>
      </c>
      <c r="E23" s="26">
        <v>1</v>
      </c>
      <c r="F23" s="30">
        <f>D23*E23</f>
        <v>41.9</v>
      </c>
      <c r="G23" s="26">
        <f>I17</f>
        <v>5</v>
      </c>
      <c r="H23" s="30">
        <f>ROUND((G23*F23/100),2)</f>
        <v>2.1</v>
      </c>
      <c r="I23" s="30">
        <f>(1+G23/100)*D23</f>
        <v>43.994999999999997</v>
      </c>
      <c r="J23" s="30">
        <f>ROUND(E23*I23,2)</f>
        <v>44</v>
      </c>
      <c r="K23" s="26" t="str">
        <f>H17</f>
        <v>Rajasthan</v>
      </c>
    </row>
    <row r="24" spans="1:15" x14ac:dyDescent="0.25">
      <c r="B24" s="1">
        <v>159105</v>
      </c>
      <c r="C24" s="1">
        <v>9285</v>
      </c>
      <c r="D24" s="26">
        <v>76.19</v>
      </c>
      <c r="E24" s="26">
        <v>3</v>
      </c>
      <c r="F24" s="30">
        <f>D24*E24</f>
        <v>228.57</v>
      </c>
      <c r="G24" s="26">
        <f>I17</f>
        <v>5</v>
      </c>
      <c r="H24" s="30">
        <f>ROUND((G24*F24/100),2)</f>
        <v>11.43</v>
      </c>
      <c r="I24" s="30">
        <f>(1+G24/100)*D24</f>
        <v>79.999499999999998</v>
      </c>
      <c r="J24" s="30">
        <f>ROUND(E24*I24,2)</f>
        <v>240</v>
      </c>
      <c r="K24" s="26" t="str">
        <f>H17</f>
        <v>Rajasthan</v>
      </c>
    </row>
    <row r="25" spans="1:15" x14ac:dyDescent="0.25">
      <c r="B25" s="1">
        <v>139106</v>
      </c>
      <c r="C25" s="1">
        <v>9285</v>
      </c>
      <c r="D25" s="26">
        <v>152.38</v>
      </c>
      <c r="E25" s="26">
        <v>3</v>
      </c>
      <c r="F25" s="30">
        <f>D25*E25</f>
        <v>457.14</v>
      </c>
      <c r="G25" s="26">
        <f>I17</f>
        <v>5</v>
      </c>
      <c r="H25" s="30">
        <f>ROUND((G25*F25/100),2)</f>
        <v>22.86</v>
      </c>
      <c r="I25" s="30">
        <f>(1+G25/100)*D25</f>
        <v>159.999</v>
      </c>
      <c r="J25" s="30">
        <f>ROUND(E25*I25,2)</f>
        <v>480</v>
      </c>
      <c r="K25" s="26" t="s">
        <v>191</v>
      </c>
    </row>
    <row r="26" spans="1:15" x14ac:dyDescent="0.25">
      <c r="F26" s="31">
        <f>SUM(F22:F25)</f>
        <v>838.08999999999992</v>
      </c>
      <c r="H26" s="31">
        <f>SUM(H22:H25)</f>
        <v>41.91</v>
      </c>
      <c r="J26" s="31">
        <f>SUM(J22:J25)</f>
        <v>880</v>
      </c>
    </row>
    <row r="28" spans="1:15" x14ac:dyDescent="0.25">
      <c r="I28" s="27" t="s">
        <v>241</v>
      </c>
      <c r="J28" s="30">
        <f>F26</f>
        <v>838.08999999999992</v>
      </c>
    </row>
    <row r="29" spans="1:15" x14ac:dyDescent="0.25">
      <c r="I29" s="27" t="s">
        <v>220</v>
      </c>
      <c r="J29" s="34">
        <f>H26</f>
        <v>41.91</v>
      </c>
    </row>
    <row r="30" spans="1:15" x14ac:dyDescent="0.25">
      <c r="I30" s="27" t="s">
        <v>242</v>
      </c>
      <c r="J30" s="30">
        <f>J26</f>
        <v>880</v>
      </c>
    </row>
    <row r="32" spans="1:15" x14ac:dyDescent="0.25">
      <c r="G32" s="27" t="s">
        <v>244</v>
      </c>
      <c r="H32" s="30">
        <f>J30*G17</f>
        <v>77440.88</v>
      </c>
    </row>
    <row r="33" spans="2:10" x14ac:dyDescent="0.25">
      <c r="G33" s="27" t="s">
        <v>245</v>
      </c>
      <c r="H33" s="30">
        <f>ROUND(H32-H32/(1+I17/100),2)</f>
        <v>3687.66</v>
      </c>
    </row>
    <row r="35" spans="2:10" x14ac:dyDescent="0.25">
      <c r="G35" s="27" t="s">
        <v>250</v>
      </c>
      <c r="H35" s="30">
        <f>J35*G17</f>
        <v>3688.1219099999998</v>
      </c>
      <c r="I35" s="27" t="s">
        <v>247</v>
      </c>
      <c r="J35" s="30">
        <f>H26</f>
        <v>41.91</v>
      </c>
    </row>
    <row r="36" spans="2:10" x14ac:dyDescent="0.25">
      <c r="G36" s="27" t="s">
        <v>251</v>
      </c>
      <c r="H36" s="30">
        <f>J36*G17</f>
        <v>0</v>
      </c>
      <c r="I36" s="27" t="s">
        <v>248</v>
      </c>
      <c r="J36" s="30">
        <v>0</v>
      </c>
    </row>
    <row r="37" spans="2:10" x14ac:dyDescent="0.25">
      <c r="G37" s="27" t="s">
        <v>252</v>
      </c>
      <c r="H37" s="30">
        <f>J37*G17</f>
        <v>0</v>
      </c>
      <c r="I37" s="27" t="s">
        <v>249</v>
      </c>
      <c r="J37" s="30">
        <v>0</v>
      </c>
    </row>
    <row r="38" spans="2:10" x14ac:dyDescent="0.25">
      <c r="H38" s="38">
        <f>SUM(H35:H37)</f>
        <v>3688.1219099999998</v>
      </c>
      <c r="J38" s="38">
        <f>SUM(J35:J37)</f>
        <v>41.91</v>
      </c>
    </row>
    <row r="40" spans="2:10" x14ac:dyDescent="0.25">
      <c r="G40" s="26" t="s">
        <v>253</v>
      </c>
      <c r="H40" s="37">
        <f>H38-H33</f>
        <v>0.46190999999998894</v>
      </c>
    </row>
    <row r="42" spans="2:10" x14ac:dyDescent="0.25">
      <c r="B42" s="15" t="s">
        <v>266</v>
      </c>
      <c r="G42" s="16" t="s">
        <v>273</v>
      </c>
    </row>
    <row r="43" spans="2:10" x14ac:dyDescent="0.25">
      <c r="C43" s="15" t="s">
        <v>268</v>
      </c>
      <c r="D43" s="37">
        <f>J26</f>
        <v>880</v>
      </c>
    </row>
    <row r="45" spans="2:10" x14ac:dyDescent="0.25">
      <c r="B45" s="15" t="s">
        <v>269</v>
      </c>
      <c r="G45" s="16" t="s">
        <v>273</v>
      </c>
    </row>
    <row r="46" spans="2:10" x14ac:dyDescent="0.25">
      <c r="C46" s="39" t="s">
        <v>267</v>
      </c>
      <c r="D46" s="30">
        <f>F26</f>
        <v>838.08999999999992</v>
      </c>
    </row>
    <row r="47" spans="2:10" x14ac:dyDescent="0.25">
      <c r="C47" s="39" t="s">
        <v>247</v>
      </c>
      <c r="D47" s="26">
        <f>SUMIF(K22:K25, "Rajasthan", H22:H25)</f>
        <v>19.049999999999997</v>
      </c>
    </row>
    <row r="48" spans="2:10" x14ac:dyDescent="0.25">
      <c r="C48" s="39" t="s">
        <v>270</v>
      </c>
      <c r="D48" s="26">
        <f>SUMIF(K22:K25, "Goa", H22:H25)/2</f>
        <v>11.43</v>
      </c>
    </row>
    <row r="49" spans="2:7" x14ac:dyDescent="0.25">
      <c r="C49" s="39" t="s">
        <v>271</v>
      </c>
      <c r="D49" s="26">
        <f>SUMIF(K22:K25, "Goa", H22:H25)/2</f>
        <v>11.43</v>
      </c>
    </row>
    <row r="50" spans="2:7" x14ac:dyDescent="0.25">
      <c r="C50" s="40" t="s">
        <v>268</v>
      </c>
      <c r="D50" s="38">
        <f>SUM(D46:D49)</f>
        <v>879.99999999999977</v>
      </c>
    </row>
    <row r="52" spans="2:7" x14ac:dyDescent="0.25">
      <c r="B52" s="15" t="s">
        <v>272</v>
      </c>
      <c r="G52" s="16" t="s">
        <v>274</v>
      </c>
    </row>
    <row r="53" spans="2:7" x14ac:dyDescent="0.25">
      <c r="B53" s="15"/>
      <c r="C53" s="16" t="s">
        <v>234</v>
      </c>
    </row>
    <row r="54" spans="2:7" x14ac:dyDescent="0.25">
      <c r="D54" s="39" t="s">
        <v>267</v>
      </c>
      <c r="E54" s="30">
        <f>SUMIF(K22:K25,"Rajasthan",F22:F25)</f>
        <v>380.95</v>
      </c>
    </row>
    <row r="55" spans="2:7" x14ac:dyDescent="0.25">
      <c r="D55" s="39" t="s">
        <v>247</v>
      </c>
      <c r="E55" s="26">
        <f>SUMIF(K22:K25, "Rajasthan", H22:H25)</f>
        <v>19.049999999999997</v>
      </c>
    </row>
    <row r="56" spans="2:7" x14ac:dyDescent="0.25">
      <c r="D56" s="39" t="s">
        <v>270</v>
      </c>
      <c r="E56" s="26">
        <v>0</v>
      </c>
    </row>
    <row r="57" spans="2:7" x14ac:dyDescent="0.25">
      <c r="D57" s="39" t="s">
        <v>271</v>
      </c>
      <c r="E57" s="26">
        <v>0</v>
      </c>
    </row>
    <row r="58" spans="2:7" x14ac:dyDescent="0.25">
      <c r="D58" s="40" t="s">
        <v>268</v>
      </c>
      <c r="E58" s="38">
        <f>SUM(E54:E57)</f>
        <v>400</v>
      </c>
    </row>
    <row r="59" spans="2:7" x14ac:dyDescent="0.25">
      <c r="C59" s="16" t="s">
        <v>191</v>
      </c>
    </row>
    <row r="60" spans="2:7" x14ac:dyDescent="0.25">
      <c r="D60" s="39" t="s">
        <v>267</v>
      </c>
      <c r="E60" s="30">
        <f>SUMIF(K22:K25,"Goa",F22:F25)</f>
        <v>457.14</v>
      </c>
    </row>
    <row r="61" spans="2:7" x14ac:dyDescent="0.25">
      <c r="D61" s="39" t="s">
        <v>247</v>
      </c>
      <c r="E61" s="26">
        <v>0</v>
      </c>
    </row>
    <row r="62" spans="2:7" x14ac:dyDescent="0.25">
      <c r="D62" s="39" t="s">
        <v>270</v>
      </c>
      <c r="E62" s="26">
        <f>SUMIF(K22:K25, "Goa", H22:H25)/2</f>
        <v>11.43</v>
      </c>
    </row>
    <row r="63" spans="2:7" x14ac:dyDescent="0.25">
      <c r="D63" s="39" t="s">
        <v>271</v>
      </c>
      <c r="E63" s="26">
        <f>SUMIF(K22:K25, "Goa", H22:H25)/2</f>
        <v>11.43</v>
      </c>
    </row>
    <row r="64" spans="2:7" x14ac:dyDescent="0.25">
      <c r="D64" s="40" t="s">
        <v>268</v>
      </c>
      <c r="E64" s="38">
        <f>SUM(E60:E63)</f>
        <v>480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155-6A24-42CE-882F-E38D654C71A5}">
  <dimension ref="A3:N17"/>
  <sheetViews>
    <sheetView tabSelected="1" workbookViewId="0">
      <selection activeCell="E12" sqref="E12"/>
    </sheetView>
  </sheetViews>
  <sheetFormatPr defaultRowHeight="15" x14ac:dyDescent="0.25"/>
  <sheetData>
    <row r="3" spans="1:14" x14ac:dyDescent="0.25">
      <c r="A3" s="3" t="s">
        <v>276</v>
      </c>
      <c r="B3" s="1"/>
      <c r="C3" s="1"/>
      <c r="D3" s="1"/>
      <c r="E3" s="26"/>
      <c r="F3" s="26"/>
      <c r="G3" s="26"/>
      <c r="H3" s="1"/>
      <c r="I3" s="26"/>
      <c r="J3" s="26"/>
      <c r="K3" s="26"/>
      <c r="L3" s="26"/>
      <c r="M3" s="26"/>
      <c r="N3" s="26"/>
    </row>
    <row r="4" spans="1:14" x14ac:dyDescent="0.25">
      <c r="B4" s="16" t="s">
        <v>277</v>
      </c>
      <c r="C4" s="1"/>
      <c r="D4" s="1"/>
      <c r="E4" s="26"/>
      <c r="F4" s="26"/>
      <c r="G4" s="26"/>
      <c r="H4" s="1"/>
      <c r="I4" s="26"/>
      <c r="J4" s="26"/>
      <c r="K4" s="26"/>
      <c r="L4" s="26"/>
      <c r="M4" s="26"/>
      <c r="N4" s="26"/>
    </row>
    <row r="5" spans="1:14" x14ac:dyDescent="0.25">
      <c r="B5" s="16" t="s">
        <v>278</v>
      </c>
      <c r="C5" s="1"/>
      <c r="D5" s="1"/>
      <c r="E5" s="26"/>
      <c r="F5" s="26"/>
      <c r="G5" s="26"/>
      <c r="H5" s="1"/>
      <c r="I5" s="26"/>
      <c r="J5" s="26"/>
      <c r="K5" s="26"/>
      <c r="L5" s="26"/>
      <c r="M5" s="26"/>
      <c r="N5" s="26"/>
    </row>
    <row r="6" spans="1:14" x14ac:dyDescent="0.25">
      <c r="B6" s="41" t="s">
        <v>279</v>
      </c>
      <c r="C6" s="1"/>
      <c r="D6" s="1"/>
      <c r="E6" s="26"/>
      <c r="F6" s="26"/>
      <c r="G6" s="26"/>
      <c r="H6" s="1"/>
      <c r="I6" s="26"/>
      <c r="J6" s="26"/>
      <c r="K6" s="26"/>
      <c r="L6" s="26"/>
      <c r="M6" s="26"/>
      <c r="N6" s="26"/>
    </row>
    <row r="7" spans="1:14" x14ac:dyDescent="0.25">
      <c r="B7" s="16"/>
      <c r="C7" s="16" t="s">
        <v>280</v>
      </c>
      <c r="D7" s="1"/>
      <c r="E7" s="26"/>
      <c r="F7" s="26"/>
      <c r="G7" s="26"/>
      <c r="H7" s="1"/>
      <c r="I7" s="26"/>
      <c r="J7" s="26"/>
      <c r="K7" s="26"/>
      <c r="L7" s="26"/>
      <c r="M7" s="26"/>
      <c r="N7" s="26"/>
    </row>
    <row r="8" spans="1:14" x14ac:dyDescent="0.25">
      <c r="B8" s="16"/>
      <c r="C8" s="16" t="s">
        <v>281</v>
      </c>
      <c r="D8" s="1"/>
      <c r="E8" s="26"/>
      <c r="F8" s="26"/>
      <c r="G8" s="26"/>
      <c r="H8" s="1"/>
      <c r="I8" s="26"/>
      <c r="J8" s="26"/>
      <c r="K8" s="26"/>
      <c r="L8" s="26"/>
      <c r="M8" s="26"/>
      <c r="N8" s="26"/>
    </row>
    <row r="9" spans="1:14" x14ac:dyDescent="0.25">
      <c r="B9" s="16"/>
      <c r="C9" s="1"/>
      <c r="D9" s="16" t="s">
        <v>282</v>
      </c>
      <c r="E9" s="16"/>
      <c r="F9" s="26"/>
      <c r="G9" s="26"/>
      <c r="H9" s="1"/>
      <c r="I9" s="26"/>
      <c r="J9" s="26"/>
      <c r="K9" s="26"/>
      <c r="L9" s="26"/>
      <c r="M9" s="26"/>
      <c r="N9" s="26"/>
    </row>
    <row r="10" spans="1:14" x14ac:dyDescent="0.25">
      <c r="B10" s="16"/>
      <c r="C10" s="1"/>
      <c r="D10" s="16" t="s">
        <v>283</v>
      </c>
      <c r="E10" s="16"/>
      <c r="F10" s="26"/>
      <c r="G10" s="26"/>
      <c r="H10" s="1"/>
      <c r="I10" s="26"/>
      <c r="J10" s="26"/>
      <c r="K10" s="26"/>
      <c r="L10" s="26"/>
      <c r="M10" s="26"/>
      <c r="N10" s="26"/>
    </row>
    <row r="11" spans="1:14" x14ac:dyDescent="0.25">
      <c r="B11" s="1"/>
      <c r="C11" s="1"/>
      <c r="D11" s="16" t="s">
        <v>284</v>
      </c>
      <c r="E11" s="26"/>
      <c r="F11" s="26"/>
      <c r="G11" s="26"/>
      <c r="H11" s="1"/>
      <c r="I11" s="26"/>
      <c r="J11" s="26"/>
      <c r="K11" s="26"/>
      <c r="L11" s="26"/>
      <c r="M11" s="26"/>
      <c r="N11" s="26"/>
    </row>
    <row r="12" spans="1:14" x14ac:dyDescent="0.25">
      <c r="B12" s="1"/>
      <c r="C12" s="1"/>
      <c r="D12" s="1"/>
      <c r="E12" s="26"/>
      <c r="F12" s="26"/>
      <c r="G12" s="26"/>
      <c r="H12" s="1"/>
      <c r="I12" s="26"/>
      <c r="J12" s="26"/>
      <c r="K12" s="26"/>
      <c r="L12" s="26"/>
      <c r="M12" s="26"/>
      <c r="N12" s="26"/>
    </row>
    <row r="14" spans="1:14" x14ac:dyDescent="0.25">
      <c r="A14" s="3" t="s">
        <v>285</v>
      </c>
    </row>
    <row r="15" spans="1:14" x14ac:dyDescent="0.25">
      <c r="B15" t="s">
        <v>286</v>
      </c>
    </row>
    <row r="16" spans="1:14" x14ac:dyDescent="0.25">
      <c r="B16" s="1">
        <v>710</v>
      </c>
      <c r="C16" t="s">
        <v>287</v>
      </c>
    </row>
    <row r="17" spans="2:3" x14ac:dyDescent="0.25">
      <c r="B17" s="1">
        <v>720</v>
      </c>
      <c r="C17" t="s">
        <v>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CompleteTimingsCities</vt:lpstr>
      <vt:lpstr>QuoTicketsSetChangeCar</vt:lpstr>
      <vt:lpstr>Invoices</vt:lpstr>
      <vt:lpstr>InvoiceDetailsSummary</vt:lpstr>
      <vt:lpstr>InvoiceTables</vt:lpstr>
      <vt:lpstr>InvoiceValues</vt:lpstr>
      <vt:lpstr>Cancellations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cp:lastModifiedBy>Rajiv</cp:lastModifiedBy>
  <dcterms:created xsi:type="dcterms:W3CDTF">2022-06-18T01:59:20Z</dcterms:created>
  <dcterms:modified xsi:type="dcterms:W3CDTF">2022-08-18T02:00:26Z</dcterms:modified>
</cp:coreProperties>
</file>