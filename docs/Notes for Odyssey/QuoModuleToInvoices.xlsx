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ACDF9963-B679-4282-AF7B-49625B4DC7EA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Modules" sheetId="1" r:id="rId1"/>
    <sheet name="ModuleCancel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E42" i="2"/>
  <c r="E40" i="2"/>
  <c r="D40" i="2"/>
  <c r="E38" i="2"/>
  <c r="D36" i="2"/>
  <c r="E36" i="2" s="1"/>
  <c r="L16" i="2"/>
  <c r="L15" i="2"/>
  <c r="L14" i="2"/>
  <c r="L13" i="2"/>
  <c r="L11" i="2"/>
  <c r="L10" i="2"/>
  <c r="L9" i="2"/>
  <c r="L8" i="2"/>
  <c r="L7" i="2"/>
  <c r="L5" i="2"/>
  <c r="L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tc={DEDBBB42-FC29-465E-934F-A80CB69E2C83}</author>
  </authors>
  <commentList>
    <comment ref="D36" authorId="0" shapeId="0" xr:uid="{DEDBBB42-FC29-465E-934F-A80CB69E2C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Rows where CancelPerc &gt; 0</t>
      </text>
    </comment>
  </commentList>
</comments>
</file>

<file path=xl/sharedStrings.xml><?xml version="1.0" encoding="utf-8"?>
<sst xmlns="http://schemas.openxmlformats.org/spreadsheetml/2006/main" count="100" uniqueCount="52">
  <si>
    <t>Module Details</t>
  </si>
  <si>
    <t>QuoModuleDetails_id</t>
  </si>
  <si>
    <t>QuoModuleDetails</t>
  </si>
  <si>
    <t>TrsType</t>
  </si>
  <si>
    <t>RecType</t>
  </si>
  <si>
    <t>FixedItin_id</t>
  </si>
  <si>
    <t>ParentFixedItin_id</t>
  </si>
  <si>
    <t>Qty</t>
  </si>
  <si>
    <t>Rate</t>
  </si>
  <si>
    <t>Cost</t>
  </si>
  <si>
    <t>ServTaxPerc</t>
  </si>
  <si>
    <t>ServTaxAmt</t>
  </si>
  <si>
    <t>RateAfterServTax</t>
  </si>
  <si>
    <t>TotalAmt</t>
  </si>
  <si>
    <t>MainOrderNo</t>
  </si>
  <si>
    <t>SubOrderNo</t>
  </si>
  <si>
    <t>Intercity transfer from Hospet to Hampi</t>
  </si>
  <si>
    <t>NULL</t>
  </si>
  <si>
    <t>Train from Bangalore to Hospet (1st AC)</t>
  </si>
  <si>
    <t>Heritage Resort Hampi (Doubles) Room for early check in.</t>
  </si>
  <si>
    <t>Hampi Magic</t>
  </si>
  <si>
    <t xml:space="preserve">Heritage Resort Hampi (Doubles) </t>
  </si>
  <si>
    <t>Full-day sightseeing of Hampi with car</t>
  </si>
  <si>
    <t>Drive from Hampi to Goa</t>
  </si>
  <si>
    <t xml:space="preserve">Goa </t>
  </si>
  <si>
    <t>Breakfast plan in Bay Agonda (06 in Total)</t>
  </si>
  <si>
    <t>The Bay Agonda (Doubles) 1</t>
  </si>
  <si>
    <t>Transfer from hotel to Goa Dabolim international airport</t>
  </si>
  <si>
    <t>Orphans</t>
  </si>
  <si>
    <t>FixedItin_id = (0,null) &amp;&amp; ParentFixedItin_id = (0,null)</t>
  </si>
  <si>
    <t>RecType = 4</t>
  </si>
  <si>
    <t>Titles</t>
  </si>
  <si>
    <t>FixedItin_id &lt;&gt; (0,null) &amp;&amp; FixedItin_id &gt; 0</t>
  </si>
  <si>
    <t>TrsType = 7</t>
  </si>
  <si>
    <t>Items in Group</t>
  </si>
  <si>
    <t>FixedItin_id = (0,null) &amp;&amp; ParentFixedItin_id &gt; 0</t>
  </si>
  <si>
    <t>RecType = 1</t>
  </si>
  <si>
    <t>RecType = 2</t>
  </si>
  <si>
    <t>Ordering</t>
  </si>
  <si>
    <t>COALESCE(MainOrderNo,0), SubOrderNo, COALESCE(ParentFixedItin_id,0)</t>
  </si>
  <si>
    <t>Module Cancellation</t>
  </si>
  <si>
    <t>Refundable</t>
  </si>
  <si>
    <t>CancelPerc</t>
  </si>
  <si>
    <t>Cancel Amt</t>
  </si>
  <si>
    <t>Module to Invoice</t>
  </si>
  <si>
    <t>Less: Cancellation</t>
  </si>
  <si>
    <t>Total</t>
  </si>
  <si>
    <t>Sub Total before adding Cancellation Charges</t>
  </si>
  <si>
    <t>Add: Cancellation Charges</t>
  </si>
  <si>
    <t>Notes</t>
  </si>
  <si>
    <t>If you do not wish to invoice a row, set the Qty to 0</t>
  </si>
  <si>
    <t>If you wish to recover the entire amt for a line, set the cancellation perc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</si>
</sst>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3" fillId="0" borderId="0" xfId="0" applyFont="1" applyFill="1"/>
    <xf numFmtId="0" fontId="1" fillId="0" borderId="0" xfId="0" applyFont="1" applyFill="1" applyBorder="1" applyAlignment="1">
      <alignment horizontal="right"/>
    </xf>
    <xf numFmtId="0" fontId="1" fillId="0" borderId="2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iv Pilgaonkar" id="{EC4FE07A-509A-49AB-B854-3C02A442C774}" userId="9e4cc7946b8a5fb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4-02-15T04:19:22.19" personId="{EC4FE07A-509A-49AB-B854-3C02A442C774}" id="{DEDBBB42-FC29-465E-934F-A80CB69E2C83}">
    <text>Include Rows where CancelPerc &gt; 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opLeftCell="D1" workbookViewId="0">
      <selection activeCell="C3" sqref="C3:P16"/>
    </sheetView>
  </sheetViews>
  <sheetFormatPr defaultRowHeight="15" x14ac:dyDescent="0.25"/>
  <cols>
    <col min="2" max="2" width="22" customWidth="1"/>
    <col min="3" max="3" width="33.85546875" customWidth="1"/>
    <col min="4" max="5" width="9.140625" style="3"/>
    <col min="6" max="6" width="11.5703125" style="3" bestFit="1" customWidth="1"/>
    <col min="7" max="7" width="17.7109375" style="4" bestFit="1" customWidth="1"/>
    <col min="8" max="8" width="9.140625" style="3"/>
    <col min="11" max="11" width="11.7109375" bestFit="1" customWidth="1"/>
    <col min="12" max="12" width="11.5703125" bestFit="1" customWidth="1"/>
    <col min="13" max="13" width="16.5703125" bestFit="1" customWidth="1"/>
    <col min="15" max="15" width="13.42578125" bestFit="1" customWidth="1"/>
    <col min="16" max="16" width="12" bestFit="1" customWidth="1"/>
  </cols>
  <sheetData>
    <row r="1" spans="1:17" x14ac:dyDescent="0.25">
      <c r="A1" s="2" t="s">
        <v>0</v>
      </c>
    </row>
    <row r="3" spans="1:17" x14ac:dyDescent="0.25"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6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1"/>
    </row>
    <row r="4" spans="1:17" x14ac:dyDescent="0.25">
      <c r="B4" s="8">
        <v>97827</v>
      </c>
      <c r="C4" s="9" t="s">
        <v>16</v>
      </c>
      <c r="D4" s="8">
        <v>5</v>
      </c>
      <c r="E4" s="8">
        <v>4</v>
      </c>
      <c r="F4" s="8" t="s">
        <v>17</v>
      </c>
      <c r="G4" s="10" t="s">
        <v>17</v>
      </c>
      <c r="H4" s="8">
        <v>2</v>
      </c>
      <c r="I4" s="9">
        <v>30.476199999999999</v>
      </c>
      <c r="J4" s="9">
        <v>60.952399999999997</v>
      </c>
      <c r="K4" s="9">
        <v>5</v>
      </c>
      <c r="L4" s="9">
        <v>3.0476000000000001</v>
      </c>
      <c r="M4" s="9">
        <v>32</v>
      </c>
      <c r="N4" s="9">
        <v>64</v>
      </c>
      <c r="O4" s="9" t="s">
        <v>17</v>
      </c>
      <c r="P4" s="9">
        <v>1</v>
      </c>
    </row>
    <row r="5" spans="1:17" x14ac:dyDescent="0.25">
      <c r="B5" s="8">
        <v>97826</v>
      </c>
      <c r="C5" s="9" t="s">
        <v>18</v>
      </c>
      <c r="D5" s="8">
        <v>1</v>
      </c>
      <c r="E5" s="8">
        <v>4</v>
      </c>
      <c r="F5" s="8" t="s">
        <v>17</v>
      </c>
      <c r="G5" s="10">
        <v>0</v>
      </c>
      <c r="H5" s="8">
        <v>2</v>
      </c>
      <c r="I5" s="9">
        <v>33.333300000000001</v>
      </c>
      <c r="J5" s="9">
        <v>66.666700000000006</v>
      </c>
      <c r="K5" s="9">
        <v>5</v>
      </c>
      <c r="L5" s="9">
        <v>3.3332999999999999</v>
      </c>
      <c r="M5" s="9">
        <v>35</v>
      </c>
      <c r="N5" s="9">
        <v>70</v>
      </c>
      <c r="O5" s="9">
        <v>0</v>
      </c>
      <c r="P5" s="9">
        <v>2</v>
      </c>
    </row>
    <row r="6" spans="1:17" x14ac:dyDescent="0.25">
      <c r="B6" s="23"/>
      <c r="C6" s="24"/>
      <c r="D6" s="23"/>
      <c r="E6" s="23"/>
      <c r="F6" s="23"/>
      <c r="G6" s="25"/>
      <c r="H6" s="23"/>
      <c r="I6" s="24"/>
      <c r="J6" s="24"/>
      <c r="K6" s="24"/>
      <c r="L6" s="24"/>
      <c r="M6" s="24"/>
      <c r="N6" s="24"/>
      <c r="O6" s="24"/>
      <c r="P6" s="24"/>
    </row>
    <row r="7" spans="1:17" x14ac:dyDescent="0.25">
      <c r="B7" s="17">
        <v>97821</v>
      </c>
      <c r="C7" s="18" t="s">
        <v>20</v>
      </c>
      <c r="D7" s="17">
        <v>7</v>
      </c>
      <c r="E7" s="17">
        <v>1</v>
      </c>
      <c r="F7" s="17">
        <v>159</v>
      </c>
      <c r="G7" s="19" t="s">
        <v>17</v>
      </c>
      <c r="H7" s="17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</v>
      </c>
      <c r="P7" s="18">
        <v>1</v>
      </c>
    </row>
    <row r="8" spans="1:17" x14ac:dyDescent="0.25">
      <c r="B8" s="11">
        <v>100554</v>
      </c>
      <c r="C8" s="12" t="s">
        <v>19</v>
      </c>
      <c r="D8" s="11" t="s">
        <v>17</v>
      </c>
      <c r="E8" s="11">
        <v>2</v>
      </c>
      <c r="F8" s="11" t="s">
        <v>17</v>
      </c>
      <c r="G8" s="13">
        <v>159</v>
      </c>
      <c r="H8" s="11">
        <v>1</v>
      </c>
      <c r="I8" s="12">
        <v>240</v>
      </c>
      <c r="J8" s="12">
        <v>240</v>
      </c>
      <c r="K8" s="12">
        <v>5</v>
      </c>
      <c r="L8" s="12">
        <v>12</v>
      </c>
      <c r="M8" s="12">
        <v>252</v>
      </c>
      <c r="N8" s="12">
        <v>252</v>
      </c>
      <c r="O8" s="12">
        <v>1</v>
      </c>
      <c r="P8" s="12">
        <v>1</v>
      </c>
    </row>
    <row r="9" spans="1:17" x14ac:dyDescent="0.25">
      <c r="B9" s="11">
        <v>97822</v>
      </c>
      <c r="C9" s="12" t="s">
        <v>21</v>
      </c>
      <c r="D9" s="11">
        <v>2</v>
      </c>
      <c r="E9" s="11">
        <v>2</v>
      </c>
      <c r="F9" s="11" t="s">
        <v>17</v>
      </c>
      <c r="G9" s="13">
        <v>159</v>
      </c>
      <c r="H9" s="11">
        <v>4</v>
      </c>
      <c r="I9" s="12">
        <v>161.90479999999999</v>
      </c>
      <c r="J9" s="12">
        <v>647.61900000000003</v>
      </c>
      <c r="K9" s="12">
        <v>5</v>
      </c>
      <c r="L9" s="12">
        <v>32.381</v>
      </c>
      <c r="M9" s="12">
        <v>170</v>
      </c>
      <c r="N9" s="12">
        <v>680</v>
      </c>
      <c r="O9" s="12">
        <v>1</v>
      </c>
      <c r="P9" s="12">
        <v>2</v>
      </c>
    </row>
    <row r="10" spans="1:17" x14ac:dyDescent="0.25">
      <c r="B10" s="11">
        <v>97824</v>
      </c>
      <c r="C10" s="12" t="s">
        <v>22</v>
      </c>
      <c r="D10" s="11">
        <v>3</v>
      </c>
      <c r="E10" s="11">
        <v>2</v>
      </c>
      <c r="F10" s="11" t="s">
        <v>17</v>
      </c>
      <c r="G10" s="13">
        <v>159</v>
      </c>
      <c r="H10" s="11">
        <v>2</v>
      </c>
      <c r="I10" s="12">
        <v>47.619</v>
      </c>
      <c r="J10" s="12">
        <v>95.238100000000003</v>
      </c>
      <c r="K10" s="12">
        <v>5</v>
      </c>
      <c r="L10" s="12">
        <v>4.7618999999999998</v>
      </c>
      <c r="M10" s="12">
        <v>50</v>
      </c>
      <c r="N10" s="12">
        <v>100</v>
      </c>
      <c r="O10" s="12">
        <v>1</v>
      </c>
      <c r="P10" s="12">
        <v>3</v>
      </c>
    </row>
    <row r="11" spans="1:17" x14ac:dyDescent="0.25">
      <c r="B11" s="11">
        <v>97828</v>
      </c>
      <c r="C11" s="12" t="s">
        <v>23</v>
      </c>
      <c r="D11" s="11">
        <v>5</v>
      </c>
      <c r="E11" s="11">
        <v>2</v>
      </c>
      <c r="F11" s="11" t="s">
        <v>17</v>
      </c>
      <c r="G11" s="13">
        <v>159</v>
      </c>
      <c r="H11" s="11">
        <v>2</v>
      </c>
      <c r="I11" s="12">
        <v>241.90479999999999</v>
      </c>
      <c r="J11" s="12">
        <v>483.80950000000001</v>
      </c>
      <c r="K11" s="12">
        <v>5</v>
      </c>
      <c r="L11" s="12">
        <v>24.1905</v>
      </c>
      <c r="M11" s="12">
        <v>254</v>
      </c>
      <c r="N11" s="12">
        <v>508</v>
      </c>
      <c r="O11" s="12">
        <v>1</v>
      </c>
      <c r="P11" s="12">
        <v>4</v>
      </c>
    </row>
    <row r="12" spans="1:17" x14ac:dyDescent="0.25">
      <c r="B12" s="23"/>
      <c r="C12" s="24"/>
      <c r="D12" s="23"/>
      <c r="E12" s="23"/>
      <c r="F12" s="23"/>
      <c r="G12" s="25"/>
      <c r="H12" s="23"/>
      <c r="I12" s="24"/>
      <c r="J12" s="24"/>
      <c r="K12" s="24"/>
      <c r="L12" s="24"/>
      <c r="M12" s="24"/>
      <c r="N12" s="24"/>
      <c r="O12" s="24"/>
      <c r="P12" s="24"/>
    </row>
    <row r="13" spans="1:17" x14ac:dyDescent="0.25">
      <c r="B13" s="20">
        <v>97933</v>
      </c>
      <c r="C13" s="21" t="s">
        <v>24</v>
      </c>
      <c r="D13" s="20">
        <v>7</v>
      </c>
      <c r="E13" s="20">
        <v>1</v>
      </c>
      <c r="F13" s="20">
        <v>163</v>
      </c>
      <c r="G13" s="22" t="s">
        <v>17</v>
      </c>
      <c r="H13" s="20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2</v>
      </c>
      <c r="P13" s="21">
        <v>1</v>
      </c>
    </row>
    <row r="14" spans="1:17" x14ac:dyDescent="0.25">
      <c r="B14" s="14">
        <v>100553</v>
      </c>
      <c r="C14" s="15" t="s">
        <v>25</v>
      </c>
      <c r="D14" s="14" t="s">
        <v>17</v>
      </c>
      <c r="E14" s="14">
        <v>2</v>
      </c>
      <c r="F14" s="14" t="s">
        <v>17</v>
      </c>
      <c r="G14" s="16">
        <v>163</v>
      </c>
      <c r="H14" s="14">
        <v>6</v>
      </c>
      <c r="I14" s="15">
        <v>15.238099999999999</v>
      </c>
      <c r="J14" s="15">
        <v>91.428600000000003</v>
      </c>
      <c r="K14" s="15">
        <v>5</v>
      </c>
      <c r="L14" s="15">
        <v>4.5713999999999997</v>
      </c>
      <c r="M14" s="15">
        <v>16</v>
      </c>
      <c r="N14" s="15">
        <v>96</v>
      </c>
      <c r="O14" s="15">
        <v>2</v>
      </c>
      <c r="P14" s="15">
        <v>2</v>
      </c>
    </row>
    <row r="15" spans="1:17" x14ac:dyDescent="0.25">
      <c r="B15" s="14">
        <v>97823</v>
      </c>
      <c r="C15" s="15" t="s">
        <v>26</v>
      </c>
      <c r="D15" s="14">
        <v>2</v>
      </c>
      <c r="E15" s="14">
        <v>2</v>
      </c>
      <c r="F15" s="14" t="s">
        <v>17</v>
      </c>
      <c r="G15" s="16">
        <v>163</v>
      </c>
      <c r="H15" s="14">
        <v>7</v>
      </c>
      <c r="I15" s="15">
        <v>95.238100000000003</v>
      </c>
      <c r="J15" s="15">
        <v>666.66669999999999</v>
      </c>
      <c r="K15" s="15">
        <v>5</v>
      </c>
      <c r="L15" s="15">
        <v>33.333300000000001</v>
      </c>
      <c r="M15" s="15">
        <v>100</v>
      </c>
      <c r="N15" s="15">
        <v>700</v>
      </c>
      <c r="O15" s="15">
        <v>2</v>
      </c>
      <c r="P15" s="15">
        <v>2</v>
      </c>
    </row>
    <row r="16" spans="1:17" x14ac:dyDescent="0.25">
      <c r="B16" s="14">
        <v>97825</v>
      </c>
      <c r="C16" s="15" t="s">
        <v>27</v>
      </c>
      <c r="D16" s="14">
        <v>4</v>
      </c>
      <c r="E16" s="14">
        <v>2</v>
      </c>
      <c r="F16" s="14" t="s">
        <v>17</v>
      </c>
      <c r="G16" s="16">
        <v>163</v>
      </c>
      <c r="H16" s="14">
        <v>2</v>
      </c>
      <c r="I16" s="15">
        <v>27.619</v>
      </c>
      <c r="J16" s="15">
        <v>55.238100000000003</v>
      </c>
      <c r="K16" s="15">
        <v>5</v>
      </c>
      <c r="L16" s="15">
        <v>2.7618999999999998</v>
      </c>
      <c r="M16" s="15">
        <v>29</v>
      </c>
      <c r="N16" s="15">
        <v>58</v>
      </c>
      <c r="O16" s="15">
        <v>2</v>
      </c>
      <c r="P16" s="15">
        <v>4</v>
      </c>
    </row>
    <row r="18" spans="2:3" x14ac:dyDescent="0.25">
      <c r="C18" s="24"/>
    </row>
    <row r="19" spans="2:3" x14ac:dyDescent="0.25">
      <c r="B19" s="1" t="s">
        <v>38</v>
      </c>
      <c r="C19" s="24" t="s">
        <v>39</v>
      </c>
    </row>
    <row r="20" spans="2:3" x14ac:dyDescent="0.25">
      <c r="C20" s="24"/>
    </row>
    <row r="21" spans="2:3" x14ac:dyDescent="0.25">
      <c r="B21" s="1" t="s">
        <v>28</v>
      </c>
      <c r="C21" s="26" t="s">
        <v>29</v>
      </c>
    </row>
    <row r="22" spans="2:3" x14ac:dyDescent="0.25">
      <c r="C22" s="24" t="s">
        <v>30</v>
      </c>
    </row>
    <row r="23" spans="2:3" x14ac:dyDescent="0.25">
      <c r="C23" s="24"/>
    </row>
    <row r="24" spans="2:3" x14ac:dyDescent="0.25">
      <c r="B24" s="1" t="s">
        <v>31</v>
      </c>
      <c r="C24" s="24" t="s">
        <v>32</v>
      </c>
    </row>
    <row r="25" spans="2:3" x14ac:dyDescent="0.25">
      <c r="C25" s="24" t="s">
        <v>33</v>
      </c>
    </row>
    <row r="26" spans="2:3" x14ac:dyDescent="0.25">
      <c r="C26" s="24" t="s">
        <v>36</v>
      </c>
    </row>
    <row r="27" spans="2:3" x14ac:dyDescent="0.25">
      <c r="C27" s="24"/>
    </row>
    <row r="28" spans="2:3" x14ac:dyDescent="0.25">
      <c r="B28" s="1" t="s">
        <v>34</v>
      </c>
      <c r="C28" s="24" t="s">
        <v>35</v>
      </c>
    </row>
    <row r="29" spans="2:3" x14ac:dyDescent="0.25">
      <c r="C29" s="2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5CC1-C0BE-4C82-86B3-3052E0A3F1B0}">
  <dimension ref="A1:L48"/>
  <sheetViews>
    <sheetView tabSelected="1" topLeftCell="A31" workbookViewId="0">
      <selection activeCell="B49" sqref="B49"/>
    </sheetView>
  </sheetViews>
  <sheetFormatPr defaultRowHeight="15" x14ac:dyDescent="0.25"/>
  <cols>
    <col min="1" max="1" width="4" customWidth="1"/>
    <col min="2" max="2" width="43.85546875" customWidth="1"/>
    <col min="4" max="4" width="16.5703125" bestFit="1" customWidth="1"/>
    <col min="6" max="6" width="11.5703125" bestFit="1" customWidth="1"/>
    <col min="7" max="7" width="16.5703125" bestFit="1" customWidth="1"/>
    <col min="11" max="11" width="10.7109375" bestFit="1" customWidth="1"/>
    <col min="12" max="12" width="11" bestFit="1" customWidth="1"/>
  </cols>
  <sheetData>
    <row r="1" spans="1:12" x14ac:dyDescent="0.25">
      <c r="A1" s="2" t="s">
        <v>40</v>
      </c>
    </row>
    <row r="3" spans="1:12" x14ac:dyDescent="0.25">
      <c r="B3" s="5" t="s">
        <v>2</v>
      </c>
      <c r="C3" s="6" t="s">
        <v>7</v>
      </c>
      <c r="D3" s="7" t="s">
        <v>8</v>
      </c>
      <c r="E3" s="7" t="s">
        <v>9</v>
      </c>
      <c r="F3" s="7" t="s">
        <v>11</v>
      </c>
      <c r="G3" s="7" t="s">
        <v>12</v>
      </c>
      <c r="H3" s="7" t="s">
        <v>13</v>
      </c>
      <c r="J3" s="27" t="s">
        <v>41</v>
      </c>
      <c r="K3" s="27" t="s">
        <v>42</v>
      </c>
      <c r="L3" s="27" t="s">
        <v>43</v>
      </c>
    </row>
    <row r="4" spans="1:12" x14ac:dyDescent="0.25">
      <c r="B4" s="9" t="s">
        <v>16</v>
      </c>
      <c r="C4" s="8">
        <v>2</v>
      </c>
      <c r="D4" s="9">
        <v>30.476199999999999</v>
      </c>
      <c r="E4" s="9">
        <v>60.952399999999997</v>
      </c>
      <c r="F4" s="9">
        <v>3.0476000000000001</v>
      </c>
      <c r="G4" s="9">
        <v>32</v>
      </c>
      <c r="H4" s="9">
        <v>64</v>
      </c>
      <c r="J4" s="9">
        <v>1</v>
      </c>
      <c r="K4" s="9">
        <v>20</v>
      </c>
      <c r="L4" s="9">
        <f>(K4/100)*H4</f>
        <v>12.8</v>
      </c>
    </row>
    <row r="5" spans="1:12" x14ac:dyDescent="0.25">
      <c r="B5" s="9" t="s">
        <v>18</v>
      </c>
      <c r="C5" s="8">
        <v>2</v>
      </c>
      <c r="D5" s="9">
        <v>33.333300000000001</v>
      </c>
      <c r="E5" s="9">
        <v>66.666700000000006</v>
      </c>
      <c r="F5" s="9">
        <v>3.3332999999999999</v>
      </c>
      <c r="G5" s="9">
        <v>35</v>
      </c>
      <c r="H5" s="9">
        <v>70</v>
      </c>
      <c r="J5" s="9">
        <v>0</v>
      </c>
      <c r="K5" s="9">
        <v>0</v>
      </c>
      <c r="L5" s="9">
        <f>(K5/100)*H5</f>
        <v>0</v>
      </c>
    </row>
    <row r="6" spans="1:12" x14ac:dyDescent="0.25">
      <c r="B6" s="24"/>
      <c r="C6" s="23"/>
      <c r="D6" s="24"/>
      <c r="E6" s="24"/>
      <c r="F6" s="24"/>
      <c r="G6" s="24"/>
      <c r="H6" s="24"/>
    </row>
    <row r="7" spans="1:12" x14ac:dyDescent="0.25">
      <c r="B7" s="18" t="s">
        <v>20</v>
      </c>
      <c r="C7" s="17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J7" s="18">
        <v>1</v>
      </c>
      <c r="K7" s="18">
        <v>20</v>
      </c>
      <c r="L7" s="18">
        <f>(K7/100)*H7</f>
        <v>0</v>
      </c>
    </row>
    <row r="8" spans="1:12" x14ac:dyDescent="0.25">
      <c r="B8" s="12" t="s">
        <v>19</v>
      </c>
      <c r="C8" s="11">
        <v>1</v>
      </c>
      <c r="D8" s="12">
        <v>240</v>
      </c>
      <c r="E8" s="12">
        <v>240</v>
      </c>
      <c r="F8" s="12">
        <v>12</v>
      </c>
      <c r="G8" s="12">
        <v>252</v>
      </c>
      <c r="H8" s="12">
        <v>252</v>
      </c>
      <c r="J8" s="12">
        <v>1</v>
      </c>
      <c r="K8" s="12">
        <v>20</v>
      </c>
      <c r="L8" s="12">
        <f>(K8/100)*H8</f>
        <v>50.400000000000006</v>
      </c>
    </row>
    <row r="9" spans="1:12" x14ac:dyDescent="0.25">
      <c r="B9" s="12" t="s">
        <v>21</v>
      </c>
      <c r="C9" s="11">
        <v>4</v>
      </c>
      <c r="D9" s="12">
        <v>161.90479999999999</v>
      </c>
      <c r="E9" s="12">
        <v>647.61900000000003</v>
      </c>
      <c r="F9" s="12">
        <v>32.381</v>
      </c>
      <c r="G9" s="12">
        <v>170</v>
      </c>
      <c r="H9" s="12">
        <v>680</v>
      </c>
      <c r="J9" s="12">
        <v>1</v>
      </c>
      <c r="K9" s="12">
        <v>20</v>
      </c>
      <c r="L9" s="12">
        <f>(K9/100)*H9</f>
        <v>136</v>
      </c>
    </row>
    <row r="10" spans="1:12" x14ac:dyDescent="0.25">
      <c r="B10" s="12" t="s">
        <v>22</v>
      </c>
      <c r="C10" s="11">
        <v>2</v>
      </c>
      <c r="D10" s="12">
        <v>47.619</v>
      </c>
      <c r="E10" s="12">
        <v>95.238100000000003</v>
      </c>
      <c r="F10" s="12">
        <v>4.7618999999999998</v>
      </c>
      <c r="G10" s="12">
        <v>50</v>
      </c>
      <c r="H10" s="12">
        <v>100</v>
      </c>
      <c r="J10" s="12">
        <v>1</v>
      </c>
      <c r="K10" s="12">
        <v>20</v>
      </c>
      <c r="L10" s="12">
        <f>(K10/100)*H10</f>
        <v>20</v>
      </c>
    </row>
    <row r="11" spans="1:12" x14ac:dyDescent="0.25">
      <c r="B11" s="12" t="s">
        <v>23</v>
      </c>
      <c r="C11" s="11">
        <v>2</v>
      </c>
      <c r="D11" s="12">
        <v>241.90479999999999</v>
      </c>
      <c r="E11" s="12">
        <v>483.80950000000001</v>
      </c>
      <c r="F11" s="12">
        <v>24.1905</v>
      </c>
      <c r="G11" s="12">
        <v>254</v>
      </c>
      <c r="H11" s="12">
        <v>508</v>
      </c>
      <c r="J11" s="12">
        <v>1</v>
      </c>
      <c r="K11" s="12">
        <v>20</v>
      </c>
      <c r="L11" s="12">
        <f>(K11/100)*H11</f>
        <v>101.60000000000001</v>
      </c>
    </row>
    <row r="12" spans="1:12" x14ac:dyDescent="0.25">
      <c r="B12" s="24"/>
      <c r="C12" s="23"/>
      <c r="D12" s="24"/>
      <c r="E12" s="24"/>
      <c r="F12" s="24"/>
      <c r="G12" s="24"/>
      <c r="H12" s="24"/>
    </row>
    <row r="13" spans="1:12" x14ac:dyDescent="0.25">
      <c r="B13" s="21" t="s">
        <v>24</v>
      </c>
      <c r="C13" s="20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J13" s="21">
        <v>1</v>
      </c>
      <c r="K13" s="21">
        <v>20</v>
      </c>
      <c r="L13" s="21">
        <f>(K13/100)*H13</f>
        <v>0</v>
      </c>
    </row>
    <row r="14" spans="1:12" x14ac:dyDescent="0.25">
      <c r="B14" s="15" t="s">
        <v>25</v>
      </c>
      <c r="C14" s="14">
        <v>6</v>
      </c>
      <c r="D14" s="15">
        <v>15.238099999999999</v>
      </c>
      <c r="E14" s="15">
        <v>91.428600000000003</v>
      </c>
      <c r="F14" s="15">
        <v>4.5713999999999997</v>
      </c>
      <c r="G14" s="15">
        <v>16</v>
      </c>
      <c r="H14" s="15">
        <v>96</v>
      </c>
      <c r="J14" s="15">
        <v>1</v>
      </c>
      <c r="K14" s="15">
        <v>20</v>
      </c>
      <c r="L14" s="15">
        <f>(K14/100)*H14</f>
        <v>19.200000000000003</v>
      </c>
    </row>
    <row r="15" spans="1:12" x14ac:dyDescent="0.25">
      <c r="B15" s="15" t="s">
        <v>26</v>
      </c>
      <c r="C15" s="14">
        <v>7</v>
      </c>
      <c r="D15" s="15">
        <v>95.238100000000003</v>
      </c>
      <c r="E15" s="15">
        <v>666.66669999999999</v>
      </c>
      <c r="F15" s="15">
        <v>33.333300000000001</v>
      </c>
      <c r="G15" s="15">
        <v>100</v>
      </c>
      <c r="H15" s="15">
        <v>700</v>
      </c>
      <c r="J15" s="15">
        <v>1</v>
      </c>
      <c r="K15" s="15">
        <v>20</v>
      </c>
      <c r="L15" s="15">
        <f>(K15/100)*H15</f>
        <v>140</v>
      </c>
    </row>
    <row r="16" spans="1:12" x14ac:dyDescent="0.25">
      <c r="B16" s="15" t="s">
        <v>27</v>
      </c>
      <c r="C16" s="14">
        <v>2</v>
      </c>
      <c r="D16" s="15">
        <v>27.619</v>
      </c>
      <c r="E16" s="15">
        <v>55.238100000000003</v>
      </c>
      <c r="F16" s="15">
        <v>2.7618999999999998</v>
      </c>
      <c r="G16" s="15">
        <v>29</v>
      </c>
      <c r="H16" s="15">
        <v>58</v>
      </c>
      <c r="J16" s="15">
        <v>1</v>
      </c>
      <c r="K16" s="15">
        <v>20</v>
      </c>
      <c r="L16" s="15">
        <f>(K16/100)*H16</f>
        <v>11.600000000000001</v>
      </c>
    </row>
    <row r="19" spans="1:7" x14ac:dyDescent="0.25">
      <c r="A19" s="2" t="s">
        <v>44</v>
      </c>
    </row>
    <row r="21" spans="1:7" x14ac:dyDescent="0.25">
      <c r="B21" s="5" t="s">
        <v>2</v>
      </c>
      <c r="C21" s="6" t="s">
        <v>7</v>
      </c>
      <c r="D21" s="7" t="s">
        <v>12</v>
      </c>
      <c r="E21" s="7" t="s">
        <v>13</v>
      </c>
      <c r="G21" s="7" t="s">
        <v>43</v>
      </c>
    </row>
    <row r="22" spans="1:7" x14ac:dyDescent="0.25">
      <c r="B22" s="9" t="s">
        <v>16</v>
      </c>
      <c r="C22" s="8">
        <v>2</v>
      </c>
      <c r="D22" s="9">
        <v>32</v>
      </c>
      <c r="E22" s="9">
        <v>64</v>
      </c>
      <c r="G22">
        <v>12.8</v>
      </c>
    </row>
    <row r="23" spans="1:7" x14ac:dyDescent="0.25">
      <c r="B23" s="9" t="s">
        <v>18</v>
      </c>
      <c r="C23" s="8">
        <v>2</v>
      </c>
      <c r="D23" s="9">
        <v>35</v>
      </c>
      <c r="E23" s="9">
        <v>70</v>
      </c>
      <c r="G23">
        <v>0</v>
      </c>
    </row>
    <row r="24" spans="1:7" x14ac:dyDescent="0.25">
      <c r="B24" s="24"/>
      <c r="C24" s="23"/>
      <c r="D24" s="24"/>
      <c r="E24" s="24"/>
    </row>
    <row r="25" spans="1:7" x14ac:dyDescent="0.25">
      <c r="B25" s="18" t="s">
        <v>20</v>
      </c>
      <c r="C25" s="17">
        <v>0</v>
      </c>
      <c r="D25" s="18">
        <v>0</v>
      </c>
      <c r="E25" s="18">
        <v>0</v>
      </c>
      <c r="G25">
        <v>0</v>
      </c>
    </row>
    <row r="26" spans="1:7" x14ac:dyDescent="0.25">
      <c r="B26" s="12" t="s">
        <v>19</v>
      </c>
      <c r="C26" s="11">
        <v>1</v>
      </c>
      <c r="D26" s="12">
        <v>252</v>
      </c>
      <c r="E26" s="12">
        <v>252</v>
      </c>
      <c r="G26">
        <v>50.400000000000006</v>
      </c>
    </row>
    <row r="27" spans="1:7" x14ac:dyDescent="0.25">
      <c r="B27" s="12" t="s">
        <v>21</v>
      </c>
      <c r="C27" s="11">
        <v>4</v>
      </c>
      <c r="D27" s="12">
        <v>170</v>
      </c>
      <c r="E27" s="12">
        <v>680</v>
      </c>
      <c r="G27">
        <v>136</v>
      </c>
    </row>
    <row r="28" spans="1:7" x14ac:dyDescent="0.25">
      <c r="B28" s="12" t="s">
        <v>22</v>
      </c>
      <c r="C28" s="11">
        <v>2</v>
      </c>
      <c r="D28" s="12">
        <v>50</v>
      </c>
      <c r="E28" s="12">
        <v>100</v>
      </c>
      <c r="G28">
        <v>20</v>
      </c>
    </row>
    <row r="29" spans="1:7" x14ac:dyDescent="0.25">
      <c r="B29" s="12" t="s">
        <v>23</v>
      </c>
      <c r="C29" s="11">
        <v>2</v>
      </c>
      <c r="D29" s="12">
        <v>254</v>
      </c>
      <c r="E29" s="12">
        <v>508</v>
      </c>
      <c r="G29">
        <v>101.60000000000001</v>
      </c>
    </row>
    <row r="30" spans="1:7" x14ac:dyDescent="0.25">
      <c r="B30" s="24"/>
      <c r="C30" s="23"/>
      <c r="D30" s="24"/>
      <c r="E30" s="24"/>
    </row>
    <row r="31" spans="1:7" x14ac:dyDescent="0.25">
      <c r="B31" s="21" t="s">
        <v>24</v>
      </c>
      <c r="C31" s="20">
        <v>0</v>
      </c>
      <c r="D31" s="21">
        <v>0</v>
      </c>
      <c r="E31" s="21">
        <v>0</v>
      </c>
      <c r="G31">
        <v>0</v>
      </c>
    </row>
    <row r="32" spans="1:7" x14ac:dyDescent="0.25">
      <c r="B32" s="15" t="s">
        <v>25</v>
      </c>
      <c r="C32" s="14">
        <v>6</v>
      </c>
      <c r="D32" s="15">
        <v>16</v>
      </c>
      <c r="E32" s="15">
        <v>96</v>
      </c>
      <c r="G32">
        <v>19.200000000000003</v>
      </c>
    </row>
    <row r="33" spans="2:7" x14ac:dyDescent="0.25">
      <c r="B33" s="15" t="s">
        <v>26</v>
      </c>
      <c r="C33" s="14">
        <v>7</v>
      </c>
      <c r="D33" s="15">
        <v>100</v>
      </c>
      <c r="E33" s="15">
        <v>700</v>
      </c>
      <c r="G33">
        <v>140</v>
      </c>
    </row>
    <row r="34" spans="2:7" x14ac:dyDescent="0.25">
      <c r="B34" s="15" t="s">
        <v>27</v>
      </c>
      <c r="C34" s="14">
        <v>2</v>
      </c>
      <c r="D34" s="15">
        <v>29</v>
      </c>
      <c r="E34" s="15">
        <v>58</v>
      </c>
      <c r="G34">
        <v>11.600000000000001</v>
      </c>
    </row>
    <row r="36" spans="2:7" x14ac:dyDescent="0.25">
      <c r="B36" s="24" t="s">
        <v>45</v>
      </c>
      <c r="C36" s="23">
        <v>1</v>
      </c>
      <c r="D36" s="24">
        <f>-SUM(E22,E25,E26,E27,E28,E29,E31,E32,E33,E34)</f>
        <v>-2458</v>
      </c>
      <c r="E36" s="24">
        <f>C36*D36</f>
        <v>-2458</v>
      </c>
      <c r="G36" s="29">
        <f>SUM(G22:G34)</f>
        <v>491.6</v>
      </c>
    </row>
    <row r="38" spans="2:7" x14ac:dyDescent="0.25">
      <c r="B38" t="s">
        <v>47</v>
      </c>
      <c r="E38">
        <f>SUM(E22:E36)</f>
        <v>70</v>
      </c>
    </row>
    <row r="40" spans="2:7" x14ac:dyDescent="0.25">
      <c r="B40" t="s">
        <v>48</v>
      </c>
      <c r="C40" s="3">
        <v>1</v>
      </c>
      <c r="D40">
        <f>SUM(G22:G34)</f>
        <v>491.6</v>
      </c>
      <c r="E40">
        <f>C40*D40</f>
        <v>491.6</v>
      </c>
    </row>
    <row r="42" spans="2:7" x14ac:dyDescent="0.25">
      <c r="B42" s="28" t="s">
        <v>46</v>
      </c>
      <c r="C42" s="28"/>
      <c r="D42" s="28"/>
      <c r="E42" s="28">
        <f>SUM(E38:E40)</f>
        <v>561.6</v>
      </c>
    </row>
    <row r="45" spans="2:7" x14ac:dyDescent="0.25">
      <c r="B45" s="2" t="s">
        <v>49</v>
      </c>
    </row>
    <row r="46" spans="2:7" x14ac:dyDescent="0.25">
      <c r="B46" t="s">
        <v>50</v>
      </c>
    </row>
    <row r="48" spans="2:7" x14ac:dyDescent="0.25">
      <c r="B48" t="s">
        <v>51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</vt:lpstr>
      <vt:lpstr>ModuleCancellation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 Pilgaonkar</cp:lastModifiedBy>
  <dcterms:created xsi:type="dcterms:W3CDTF">2015-06-05T18:17:20Z</dcterms:created>
  <dcterms:modified xsi:type="dcterms:W3CDTF">2024-02-15T04:26:27Z</dcterms:modified>
</cp:coreProperties>
</file>